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D:\CLASS\Advance Excel\ADV EXL project\"/>
    </mc:Choice>
  </mc:AlternateContent>
  <xr:revisionPtr revIDLastSave="0" documentId="13_ncr:1_{65650DBC-BD7A-4E6F-A8CF-92E9EB064583}" xr6:coauthVersionLast="47" xr6:coauthVersionMax="47" xr10:uidLastSave="{00000000-0000-0000-0000-000000000000}"/>
  <bookViews>
    <workbookView xWindow="-103" yWindow="-103" windowWidth="22149" windowHeight="13200" activeTab="2" xr2:uid="{00000000-000D-0000-FFFF-FFFF00000000}"/>
  </bookViews>
  <sheets>
    <sheet name="Travel details report" sheetId="3" r:id="rId1"/>
    <sheet name="Pivot Table" sheetId="16" r:id="rId2"/>
    <sheet name="Dashboard" sheetId="12" r:id="rId3"/>
  </sheets>
  <definedNames>
    <definedName name="Slicer_Accommodation_Type1">#N/A</definedName>
    <definedName name="Slicer_Continent1">#N/A</definedName>
    <definedName name="Slicer_Transportation_Type">#N/A</definedName>
  </definedNames>
  <calcPr calcId="191029"/>
  <pivotCaches>
    <pivotCache cacheId="0" r:id="rId4"/>
    <pivotCache cacheId="1" r:id="rId5"/>
    <pivotCache cacheId="2" r:id="rId6"/>
    <pivotCache cacheId="3"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3" l="1"/>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8" i="3"/>
  <c r="O19" i="3"/>
  <c r="O20" i="3"/>
  <c r="O21" i="3"/>
  <c r="O22" i="3"/>
  <c r="O17" i="3"/>
  <c r="O3" i="3"/>
  <c r="O4" i="3"/>
  <c r="O5" i="3"/>
  <c r="O6" i="3"/>
  <c r="O7" i="3"/>
  <c r="O8" i="3"/>
  <c r="O9" i="3"/>
  <c r="O10" i="3"/>
  <c r="O11" i="3"/>
  <c r="O12" i="3"/>
  <c r="O13" i="3"/>
  <c r="O14" i="3"/>
  <c r="O15" i="3"/>
  <c r="O16" i="3"/>
  <c r="O2" i="3"/>
  <c r="Q4" i="3"/>
  <c r="Q5" i="3"/>
  <c r="Q6" i="3"/>
  <c r="Q7" i="3"/>
  <c r="Q8" i="3"/>
  <c r="Q9" i="3"/>
  <c r="Q10" i="3"/>
  <c r="Q11" i="3"/>
  <c r="Q12" i="3"/>
  <c r="Q13" i="3"/>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2" i="3"/>
  <c r="Q133" i="3"/>
  <c r="Q134" i="3"/>
  <c r="Q135" i="3"/>
  <c r="Q136" i="3"/>
  <c r="Q137" i="3"/>
  <c r="Q138" i="3"/>
  <c r="Q3" i="3"/>
  <c r="Q2" i="3"/>
</calcChain>
</file>

<file path=xl/sharedStrings.xml><?xml version="1.0" encoding="utf-8"?>
<sst xmlns="http://schemas.openxmlformats.org/spreadsheetml/2006/main" count="1141" uniqueCount="254">
  <si>
    <t>Start date</t>
  </si>
  <si>
    <t>End date</t>
  </si>
  <si>
    <t>Traveler nationality</t>
  </si>
  <si>
    <t>Male</t>
  </si>
  <si>
    <t>American</t>
  </si>
  <si>
    <t>Hotel</t>
  </si>
  <si>
    <t>Flight</t>
  </si>
  <si>
    <t>Female</t>
  </si>
  <si>
    <t>Canadian</t>
  </si>
  <si>
    <t>Resort</t>
  </si>
  <si>
    <t>Korean</t>
  </si>
  <si>
    <t>Villa</t>
  </si>
  <si>
    <t>British</t>
  </si>
  <si>
    <t>Vietnamese</t>
  </si>
  <si>
    <t>Airbnb</t>
  </si>
  <si>
    <t>Train</t>
  </si>
  <si>
    <t>Australian</t>
  </si>
  <si>
    <t>Hostel</t>
  </si>
  <si>
    <t>Brazilian</t>
  </si>
  <si>
    <t>Dutch</t>
  </si>
  <si>
    <t>Emirati</t>
  </si>
  <si>
    <t>Mexican</t>
  </si>
  <si>
    <t>Spanish</t>
  </si>
  <si>
    <t>Chinese</t>
  </si>
  <si>
    <t>German</t>
  </si>
  <si>
    <t>Moroccan</t>
  </si>
  <si>
    <t>Riad</t>
  </si>
  <si>
    <t>Scottish</t>
  </si>
  <si>
    <t>Paris</t>
  </si>
  <si>
    <t>Bali</t>
  </si>
  <si>
    <t>London</t>
  </si>
  <si>
    <t>Tokyo</t>
  </si>
  <si>
    <t>Japanese</t>
  </si>
  <si>
    <t>Bus</t>
  </si>
  <si>
    <t>Sydney</t>
  </si>
  <si>
    <t>Rome</t>
  </si>
  <si>
    <t>Italian</t>
  </si>
  <si>
    <t>Bangkok</t>
  </si>
  <si>
    <t>Indian</t>
  </si>
  <si>
    <t>Hawaii</t>
  </si>
  <si>
    <t>Barcelona</t>
  </si>
  <si>
    <t>Japan</t>
  </si>
  <si>
    <t>Brazil</t>
  </si>
  <si>
    <t>Greece</t>
  </si>
  <si>
    <t>Egypt</t>
  </si>
  <si>
    <t>Italy</t>
  </si>
  <si>
    <t>Spain</t>
  </si>
  <si>
    <t>Canada</t>
  </si>
  <si>
    <t>Subway</t>
  </si>
  <si>
    <t>French</t>
  </si>
  <si>
    <t>Guesthouse</t>
  </si>
  <si>
    <t>Car</t>
  </si>
  <si>
    <t>Taiwanese</t>
  </si>
  <si>
    <t>Dubai</t>
  </si>
  <si>
    <t>Indonesian</t>
  </si>
  <si>
    <t>Seoul</t>
  </si>
  <si>
    <t>USA</t>
  </si>
  <si>
    <t>UK</t>
  </si>
  <si>
    <t>China</t>
  </si>
  <si>
    <t>Taiwan</t>
  </si>
  <si>
    <t>Amsterdam</t>
  </si>
  <si>
    <t>Germany</t>
  </si>
  <si>
    <t>Phuket</t>
  </si>
  <si>
    <t>Singapore</t>
  </si>
  <si>
    <t>Santorini</t>
  </si>
  <si>
    <t>Ferry</t>
  </si>
  <si>
    <t>Cambodia</t>
  </si>
  <si>
    <t>Row Labels</t>
  </si>
  <si>
    <t>Grand Total</t>
  </si>
  <si>
    <t>Total cost</t>
  </si>
  <si>
    <t>Destination Country</t>
  </si>
  <si>
    <t>Cancun</t>
  </si>
  <si>
    <t>Honolulu</t>
  </si>
  <si>
    <t>Berlin</t>
  </si>
  <si>
    <t>Marrakech</t>
  </si>
  <si>
    <t>Edinburgh</t>
  </si>
  <si>
    <t>Vancouver</t>
  </si>
  <si>
    <t>Athens</t>
  </si>
  <si>
    <t>Auckland</t>
  </si>
  <si>
    <t>Destination City</t>
  </si>
  <si>
    <t>Cairo</t>
  </si>
  <si>
    <t>Sum of Accommodation cost</t>
  </si>
  <si>
    <t>Sum of Transportation cost</t>
  </si>
  <si>
    <t>Transportation mode</t>
  </si>
  <si>
    <t>Roadway</t>
  </si>
  <si>
    <t>Waterway</t>
  </si>
  <si>
    <t>Railway</t>
  </si>
  <si>
    <t>Airway</t>
  </si>
  <si>
    <t>Continent</t>
  </si>
  <si>
    <t>Europe</t>
  </si>
  <si>
    <t>Thailand</t>
  </si>
  <si>
    <t>Asia</t>
  </si>
  <si>
    <t>Indonesia</t>
  </si>
  <si>
    <t>North America</t>
  </si>
  <si>
    <t>France</t>
  </si>
  <si>
    <t>Australia</t>
  </si>
  <si>
    <t>South America</t>
  </si>
  <si>
    <t>Netherlands</t>
  </si>
  <si>
    <t>Mexico</t>
  </si>
  <si>
    <t>Morocco</t>
  </si>
  <si>
    <t>Africa</t>
  </si>
  <si>
    <t>Scotland</t>
  </si>
  <si>
    <t>TripID</t>
  </si>
  <si>
    <t>Duration(days)</t>
  </si>
  <si>
    <t>Travelername</t>
  </si>
  <si>
    <t>NewYork</t>
  </si>
  <si>
    <t>Carrental</t>
  </si>
  <si>
    <t>RiodeJaneiro</t>
  </si>
  <si>
    <t>UnitedArabEmirates</t>
  </si>
  <si>
    <t>SouthKorea</t>
  </si>
  <si>
    <t>SouthAfrica</t>
  </si>
  <si>
    <t>NewZealand</t>
  </si>
  <si>
    <t>SouthKorean</t>
  </si>
  <si>
    <t>LosAngeles</t>
  </si>
  <si>
    <t>CapeTown</t>
  </si>
  <si>
    <t>Vacationrental</t>
  </si>
  <si>
    <t>SouthAfrican</t>
  </si>
  <si>
    <t>HongKong</t>
  </si>
  <si>
    <t>UnitedKingdom</t>
  </si>
  <si>
    <t>PhnomPenh</t>
  </si>
  <si>
    <t>NewYorkCity</t>
  </si>
  <si>
    <t>NewZealander</t>
  </si>
  <si>
    <t>Transportation Type</t>
  </si>
  <si>
    <t>Accommodation cost</t>
  </si>
  <si>
    <t>Accommodation Type</t>
  </si>
  <si>
    <t>Gender</t>
  </si>
  <si>
    <t>Age</t>
  </si>
  <si>
    <t>Transportation cost</t>
  </si>
  <si>
    <t>2021</t>
  </si>
  <si>
    <t>2022</t>
  </si>
  <si>
    <t>2023</t>
  </si>
  <si>
    <t>2024</t>
  </si>
  <si>
    <t>2025</t>
  </si>
  <si>
    <t>Count of Destination Country</t>
  </si>
  <si>
    <t>Sum of Total cost</t>
  </si>
  <si>
    <t>Column Labels</t>
  </si>
  <si>
    <t>Count of Gender</t>
  </si>
  <si>
    <t>(All)</t>
  </si>
  <si>
    <t>John Smith</t>
  </si>
  <si>
    <t>Jane Doe</t>
  </si>
  <si>
    <t>David Lee</t>
  </si>
  <si>
    <t>Sarah Johnson</t>
  </si>
  <si>
    <t>Kim Nguyen</t>
  </si>
  <si>
    <t>Michael Brown</t>
  </si>
  <si>
    <t>Emily Davis</t>
  </si>
  <si>
    <t>Lucas Santos</t>
  </si>
  <si>
    <t>Laura Janssen</t>
  </si>
  <si>
    <t>Mohammed Ali</t>
  </si>
  <si>
    <t>Ana Hernandez</t>
  </si>
  <si>
    <t>Carlos Garcia</t>
  </si>
  <si>
    <t>Lily Wong</t>
  </si>
  <si>
    <t>Hans Mueller</t>
  </si>
  <si>
    <t>Fatima Khouri</t>
  </si>
  <si>
    <t>James MacKenzie</t>
  </si>
  <si>
    <t>Michael Chang</t>
  </si>
  <si>
    <t>Olivia Rodriguez</t>
  </si>
  <si>
    <t>Kenji Nakamura</t>
  </si>
  <si>
    <t>Emily Lee</t>
  </si>
  <si>
    <t>James Wilson</t>
  </si>
  <si>
    <t>Sofia Russo</t>
  </si>
  <si>
    <t>Raj Patel</t>
  </si>
  <si>
    <t>Lily Nguyen</t>
  </si>
  <si>
    <t>David Kim</t>
  </si>
  <si>
    <t>Maria Garcia</t>
  </si>
  <si>
    <t>Alice Smith</t>
  </si>
  <si>
    <t>Bob Johnson</t>
  </si>
  <si>
    <t>Charlie Lee</t>
  </si>
  <si>
    <t>Emma Davis</t>
  </si>
  <si>
    <t>Olivia Martin</t>
  </si>
  <si>
    <t>Harry Wilson</t>
  </si>
  <si>
    <t>Sophia Lee</t>
  </si>
  <si>
    <t>James Brown</t>
  </si>
  <si>
    <t>Mia Johnson</t>
  </si>
  <si>
    <t>William Davis</t>
  </si>
  <si>
    <t>Amelia Brown</t>
  </si>
  <si>
    <t>Adam Lee</t>
  </si>
  <si>
    <t>Sarah Wong</t>
  </si>
  <si>
    <t>Maria Silva</t>
  </si>
  <si>
    <t>Peter Brown</t>
  </si>
  <si>
    <t>Emma Garcia</t>
  </si>
  <si>
    <t>Michael Davis</t>
  </si>
  <si>
    <t>Nina Patel</t>
  </si>
  <si>
    <t>Kevin Kim</t>
  </si>
  <si>
    <t>Laura van den Berg</t>
  </si>
  <si>
    <t>Jennifer Nguyen</t>
  </si>
  <si>
    <t>Rachel Lee</t>
  </si>
  <si>
    <t>Jessica Wong</t>
  </si>
  <si>
    <t>Felipe Almeida</t>
  </si>
  <si>
    <t>Nisa Patel</t>
  </si>
  <si>
    <t>Ben Smith</t>
  </si>
  <si>
    <t>Laura Gomez</t>
  </si>
  <si>
    <t>Park Min Woo</t>
  </si>
  <si>
    <t>Michael Chen</t>
  </si>
  <si>
    <t>Sofia Rossi</t>
  </si>
  <si>
    <t>Rachel Sanders</t>
  </si>
  <si>
    <t>Emily Watson</t>
  </si>
  <si>
    <t>Ana Rodriguez</t>
  </si>
  <si>
    <t>Tom Wilson</t>
  </si>
  <si>
    <t>Olivia Green</t>
  </si>
  <si>
    <t>James Chen</t>
  </si>
  <si>
    <t>Lila Patel</t>
  </si>
  <si>
    <t>Marco Rossi</t>
  </si>
  <si>
    <t>Sarah Brown</t>
  </si>
  <si>
    <t>Sarah Lee</t>
  </si>
  <si>
    <t>Alex Kim</t>
  </si>
  <si>
    <t>Maria Hernandez</t>
  </si>
  <si>
    <t>Mark Johnson</t>
  </si>
  <si>
    <t>Amanda Chen</t>
  </si>
  <si>
    <t>Nana Kwon</t>
  </si>
  <si>
    <t>Tom Hanks</t>
  </si>
  <si>
    <t>Emma Watson</t>
  </si>
  <si>
    <t>James Kim</t>
  </si>
  <si>
    <t>Fatima Ahmed</t>
  </si>
  <si>
    <t>Liam Nguyen</t>
  </si>
  <si>
    <t>Giulia Rossi</t>
  </si>
  <si>
    <t>Putra Wijaya</t>
  </si>
  <si>
    <t>Kim Min-ji</t>
  </si>
  <si>
    <t>Emily Johnson</t>
  </si>
  <si>
    <t>Michael Wong</t>
  </si>
  <si>
    <t>Jessica Chen</t>
  </si>
  <si>
    <t>Ken Tanaka</t>
  </si>
  <si>
    <t>Rodrigo Oliveira</t>
  </si>
  <si>
    <t>Olivia Kim</t>
  </si>
  <si>
    <t>Robert Mueller</t>
  </si>
  <si>
    <t>Lisa Chen</t>
  </si>
  <si>
    <t>Emily Wong</t>
  </si>
  <si>
    <t>Mark Tan</t>
  </si>
  <si>
    <t>Emma Lee</t>
  </si>
  <si>
    <t>George Chen</t>
  </si>
  <si>
    <t>Sophia Kim</t>
  </si>
  <si>
    <t>Alex Ng</t>
  </si>
  <si>
    <t>Cindy Chen</t>
  </si>
  <si>
    <t>Emily Kim</t>
  </si>
  <si>
    <t>Frank Li</t>
  </si>
  <si>
    <t>Gina Lee</t>
  </si>
  <si>
    <t>Henry Kim</t>
  </si>
  <si>
    <t>Isabella Chen</t>
  </si>
  <si>
    <t>Jack Smith</t>
  </si>
  <si>
    <t>Katie Johnson</t>
  </si>
  <si>
    <t>John Doe</t>
  </si>
  <si>
    <t>Jane Smith</t>
  </si>
  <si>
    <t>Michael Johnson</t>
  </si>
  <si>
    <t>Jose Perez</t>
  </si>
  <si>
    <t>Emma Wilson</t>
  </si>
  <si>
    <t>Ryan Chen</t>
  </si>
  <si>
    <t>Sofia Rodriguez</t>
  </si>
  <si>
    <t>William Brown</t>
  </si>
  <si>
    <t>Analysing Traveller Details</t>
  </si>
  <si>
    <t>United Arab Emirates</t>
  </si>
  <si>
    <t>South Korea</t>
  </si>
  <si>
    <t>New Zealand</t>
  </si>
  <si>
    <t>South Africa</t>
  </si>
  <si>
    <t>Refrence value 1</t>
  </si>
  <si>
    <t>Refrence value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</si>
</sst>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 &quot;₹&quot;\ * #,##0.00_ ;_ &quot;₹&quot;\ * \-#,##0.00_ ;_ &quot;₹&quot;\ * &quot;-&quot;??_ ;_ @_ "/>
    <numFmt numFmtId="164" formatCode="_-[$$-409]* #,##0.00_ ;_-[$$-409]* \-#,##0.00\ ;_-[$$-409]* &quot;-&quot;??_ ;_-@_ "/>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92D050"/>
      <name val="Calibri"/>
      <family val="2"/>
      <scheme val="minor"/>
    </font>
    <font>
      <sz val="7"/>
      <name val="Segoe UI"/>
      <family val="2"/>
    </font>
    <font>
      <sz val="25"/>
      <color theme="1"/>
      <name val="Goudy Stout"/>
      <family val="1"/>
    </font>
    <font>
      <sz val="28"/>
      <color theme="1"/>
      <name val="Goudy Stout"/>
      <family val="1"/>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3">
    <xf numFmtId="0" fontId="0" fillId="0" borderId="0" xfId="0"/>
    <xf numFmtId="14" fontId="0" fillId="0" borderId="0" xfId="0" applyNumberFormat="1"/>
    <xf numFmtId="164" fontId="0" fillId="0" borderId="0" xfId="0" applyNumberFormat="1"/>
    <xf numFmtId="0" fontId="0" fillId="0" borderId="0" xfId="0" pivotButton="1"/>
    <xf numFmtId="0" fontId="0" fillId="0" borderId="0" xfId="0" applyAlignment="1">
      <alignment horizontal="left"/>
    </xf>
    <xf numFmtId="44" fontId="0" fillId="0" borderId="0" xfId="0" applyNumberFormat="1" applyAlignment="1">
      <alignment horizontal="left"/>
    </xf>
    <xf numFmtId="0" fontId="19" fillId="0" borderId="0" xfId="0" applyFont="1" applyAlignment="1">
      <alignment horizontal="left" vertical="center" indent="1"/>
    </xf>
    <xf numFmtId="0" fontId="20" fillId="33" borderId="0" xfId="0" applyFont="1" applyFill="1" applyAlignment="1">
      <alignment horizontal="center"/>
    </xf>
    <xf numFmtId="0" fontId="18" fillId="33" borderId="0" xfId="0" applyFont="1" applyFill="1"/>
    <xf numFmtId="0" fontId="18" fillId="33" borderId="0" xfId="0" applyFont="1" applyFill="1" applyAlignment="1">
      <alignment horizontal="center"/>
    </xf>
    <xf numFmtId="0" fontId="0" fillId="34" borderId="0" xfId="0" applyFill="1"/>
    <xf numFmtId="0" fontId="21" fillId="33" borderId="0" xfId="0" applyFont="1" applyFill="1" applyAlignment="1">
      <alignment horizontal="center"/>
    </xf>
    <xf numFmtId="0" fontId="20" fillId="33"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numFmt numFmtId="164" formatCode="_-[$$-409]* #,##0.00_ ;_-[$$-409]* \-#,##0.00\ ;_-[$$-409]* &quot;-&quot;??_ ;_-@_ "/>
    </dxf>
    <dxf>
      <numFmt numFmtId="164" formatCode="_-[$$-409]* #,##0.00_ ;_-[$$-409]* \-#,##0.00\ ;_-[$$-409]* &quot;-&quot;??_ ;_-@_ "/>
    </dxf>
    <dxf>
      <numFmt numFmtId="0" formatCode="General"/>
    </dxf>
    <dxf>
      <numFmt numFmtId="164" formatCode="_-[$$-409]* #,##0.00_ ;_-[$$-409]* \-#,##0.00\ ;_-[$$-409]* &quot;-&quot;??_ ;_-@_ "/>
    </dxf>
    <dxf>
      <numFmt numFmtId="19" formatCode="dd/mm/yyyy"/>
    </dxf>
    <dxf>
      <numFmt numFmtId="19" formatCode="dd/mm/yyyy"/>
    </dxf>
    <dxf>
      <numFmt numFmtId="0" formatCode="Genera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18" Type="http://schemas.openxmlformats.org/officeDocument/2006/relationships/customXml" Target="../customXml/item4.xml"/><Relationship Id="rId26" Type="http://schemas.openxmlformats.org/officeDocument/2006/relationships/customXml" Target="../customXml/item12.xml"/><Relationship Id="rId3" Type="http://schemas.openxmlformats.org/officeDocument/2006/relationships/worksheet" Target="worksheets/sheet3.xml"/><Relationship Id="rId21" Type="http://schemas.openxmlformats.org/officeDocument/2006/relationships/customXml" Target="../customXml/item7.xml"/><Relationship Id="rId7" Type="http://schemas.openxmlformats.org/officeDocument/2006/relationships/pivotCacheDefinition" Target="pivotCache/pivotCacheDefinition4.xml"/><Relationship Id="rId12" Type="http://schemas.openxmlformats.org/officeDocument/2006/relationships/styles" Target="styles.xml"/><Relationship Id="rId17" Type="http://schemas.openxmlformats.org/officeDocument/2006/relationships/customXml" Target="../customXml/item3.xml"/><Relationship Id="rId25" Type="http://schemas.openxmlformats.org/officeDocument/2006/relationships/customXml" Target="../customXml/item11.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29"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theme" Target="theme/theme1.xml"/><Relationship Id="rId24" Type="http://schemas.openxmlformats.org/officeDocument/2006/relationships/customXml" Target="../customXml/item10.xml"/><Relationship Id="rId5" Type="http://schemas.openxmlformats.org/officeDocument/2006/relationships/pivotCacheDefinition" Target="pivotCache/pivotCacheDefinition2.xml"/><Relationship Id="rId15" Type="http://schemas.openxmlformats.org/officeDocument/2006/relationships/customXml" Target="../customXml/item1.xml"/><Relationship Id="rId23" Type="http://schemas.openxmlformats.org/officeDocument/2006/relationships/customXml" Target="../customXml/item9.xml"/><Relationship Id="rId28" Type="http://schemas.openxmlformats.org/officeDocument/2006/relationships/customXml" Target="../customXml/item14.xml"/><Relationship Id="rId10" Type="http://schemas.microsoft.com/office/2007/relationships/slicerCache" Target="slicerCaches/slicerCache3.xml"/><Relationship Id="rId19" Type="http://schemas.openxmlformats.org/officeDocument/2006/relationships/customXml" Target="../customXml/item5.xml"/><Relationship Id="rId31" Type="http://schemas.microsoft.com/office/2006/relationships/vbaProject" Target="vbaProject.bin"/><Relationship Id="rId4" Type="http://schemas.openxmlformats.org/officeDocument/2006/relationships/pivotCacheDefinition" Target="pivotCache/pivotCacheDefinition1.xml"/><Relationship Id="rId9" Type="http://schemas.microsoft.com/office/2007/relationships/slicerCache" Target="slicerCaches/slicerCache2.xml"/><Relationship Id="rId14" Type="http://schemas.openxmlformats.org/officeDocument/2006/relationships/calcChain" Target="calcChain.xml"/><Relationship Id="rId22" Type="http://schemas.openxmlformats.org/officeDocument/2006/relationships/customXml" Target="../customXml/item8.xml"/><Relationship Id="rId27" Type="http://schemas.openxmlformats.org/officeDocument/2006/relationships/customXml" Target="../customXml/item13.xml"/><Relationship Id="rId30"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[Travel details report 2024.xlsm]Pivot Table!PivotTable18</c:name>
    <c:fmtId val="3"/>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IN"/>
              <a:t>Yearly Distribution Countries Across Continents</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Table'!$B$20:$B$21</c:f>
              <c:strCache>
                <c:ptCount val="1"/>
                <c:pt idx="0">
                  <c:v>Africa</c:v>
                </c:pt>
              </c:strCache>
            </c:strRef>
          </c:tx>
          <c:spPr>
            <a:solidFill>
              <a:schemeClr val="accent1"/>
            </a:solidFill>
            <a:ln>
              <a:noFill/>
            </a:ln>
            <a:effectLst/>
          </c:spPr>
          <c:invertIfNegative val="0"/>
          <c:cat>
            <c:strRef>
              <c:f>'Pivot Table'!$A$22:$A$27</c:f>
              <c:strCache>
                <c:ptCount val="5"/>
                <c:pt idx="0">
                  <c:v>2021</c:v>
                </c:pt>
                <c:pt idx="1">
                  <c:v>2022</c:v>
                </c:pt>
                <c:pt idx="2">
                  <c:v>2023</c:v>
                </c:pt>
                <c:pt idx="3">
                  <c:v>2024</c:v>
                </c:pt>
                <c:pt idx="4">
                  <c:v>2025</c:v>
                </c:pt>
              </c:strCache>
            </c:strRef>
          </c:cat>
          <c:val>
            <c:numRef>
              <c:f>'Pivot Table'!$B$22:$B$27</c:f>
              <c:numCache>
                <c:formatCode>General</c:formatCode>
                <c:ptCount val="5"/>
                <c:pt idx="1">
                  <c:v>1</c:v>
                </c:pt>
                <c:pt idx="2">
                  <c:v>3</c:v>
                </c:pt>
                <c:pt idx="3">
                  <c:v>2</c:v>
                </c:pt>
              </c:numCache>
            </c:numRef>
          </c:val>
          <c:extLst>
            <c:ext xmlns:c16="http://schemas.microsoft.com/office/drawing/2014/chart" uri="{C3380CC4-5D6E-409C-BE32-E72D297353CC}">
              <c16:uniqueId val="{00000000-FB64-4549-A7F1-C45DFF203138}"/>
            </c:ext>
          </c:extLst>
        </c:ser>
        <c:ser>
          <c:idx val="1"/>
          <c:order val="1"/>
          <c:tx>
            <c:strRef>
              <c:f>'Pivot Table'!$C$20:$C$21</c:f>
              <c:strCache>
                <c:ptCount val="1"/>
                <c:pt idx="0">
                  <c:v>Asia</c:v>
                </c:pt>
              </c:strCache>
            </c:strRef>
          </c:tx>
          <c:spPr>
            <a:solidFill>
              <a:schemeClr val="accent2"/>
            </a:solidFill>
            <a:ln>
              <a:noFill/>
            </a:ln>
            <a:effectLst/>
          </c:spPr>
          <c:invertIfNegative val="0"/>
          <c:cat>
            <c:strRef>
              <c:f>'Pivot Table'!$A$22:$A$27</c:f>
              <c:strCache>
                <c:ptCount val="5"/>
                <c:pt idx="0">
                  <c:v>2021</c:v>
                </c:pt>
                <c:pt idx="1">
                  <c:v>2022</c:v>
                </c:pt>
                <c:pt idx="2">
                  <c:v>2023</c:v>
                </c:pt>
                <c:pt idx="3">
                  <c:v>2024</c:v>
                </c:pt>
                <c:pt idx="4">
                  <c:v>2025</c:v>
                </c:pt>
              </c:strCache>
            </c:strRef>
          </c:cat>
          <c:val>
            <c:numRef>
              <c:f>'Pivot Table'!$C$22:$C$27</c:f>
              <c:numCache>
                <c:formatCode>General</c:formatCode>
                <c:ptCount val="5"/>
                <c:pt idx="0">
                  <c:v>2</c:v>
                </c:pt>
                <c:pt idx="1">
                  <c:v>18</c:v>
                </c:pt>
                <c:pt idx="2">
                  <c:v>14</c:v>
                </c:pt>
                <c:pt idx="3">
                  <c:v>7</c:v>
                </c:pt>
                <c:pt idx="4">
                  <c:v>2</c:v>
                </c:pt>
              </c:numCache>
            </c:numRef>
          </c:val>
          <c:extLst>
            <c:ext xmlns:c16="http://schemas.microsoft.com/office/drawing/2014/chart" uri="{C3380CC4-5D6E-409C-BE32-E72D297353CC}">
              <c16:uniqueId val="{00000006-B87B-4A21-9F11-8961A92EA0DF}"/>
            </c:ext>
          </c:extLst>
        </c:ser>
        <c:ser>
          <c:idx val="2"/>
          <c:order val="2"/>
          <c:tx>
            <c:strRef>
              <c:f>'Pivot Table'!$D$20:$D$21</c:f>
              <c:strCache>
                <c:ptCount val="1"/>
                <c:pt idx="0">
                  <c:v>Australia</c:v>
                </c:pt>
              </c:strCache>
            </c:strRef>
          </c:tx>
          <c:spPr>
            <a:solidFill>
              <a:schemeClr val="accent3"/>
            </a:solidFill>
            <a:ln>
              <a:noFill/>
            </a:ln>
            <a:effectLst/>
          </c:spPr>
          <c:invertIfNegative val="0"/>
          <c:cat>
            <c:strRef>
              <c:f>'Pivot Table'!$A$22:$A$27</c:f>
              <c:strCache>
                <c:ptCount val="5"/>
                <c:pt idx="0">
                  <c:v>2021</c:v>
                </c:pt>
                <c:pt idx="1">
                  <c:v>2022</c:v>
                </c:pt>
                <c:pt idx="2">
                  <c:v>2023</c:v>
                </c:pt>
                <c:pt idx="3">
                  <c:v>2024</c:v>
                </c:pt>
                <c:pt idx="4">
                  <c:v>2025</c:v>
                </c:pt>
              </c:strCache>
            </c:strRef>
          </c:cat>
          <c:val>
            <c:numRef>
              <c:f>'Pivot Table'!$D$22:$D$27</c:f>
              <c:numCache>
                <c:formatCode>General</c:formatCode>
                <c:ptCount val="5"/>
                <c:pt idx="0">
                  <c:v>1</c:v>
                </c:pt>
                <c:pt idx="1">
                  <c:v>5</c:v>
                </c:pt>
                <c:pt idx="2">
                  <c:v>7</c:v>
                </c:pt>
                <c:pt idx="3">
                  <c:v>1</c:v>
                </c:pt>
              </c:numCache>
            </c:numRef>
          </c:val>
          <c:extLst>
            <c:ext xmlns:c16="http://schemas.microsoft.com/office/drawing/2014/chart" uri="{C3380CC4-5D6E-409C-BE32-E72D297353CC}">
              <c16:uniqueId val="{00000001-7E56-470B-AB17-1AC2B57395BE}"/>
            </c:ext>
          </c:extLst>
        </c:ser>
        <c:ser>
          <c:idx val="3"/>
          <c:order val="3"/>
          <c:tx>
            <c:strRef>
              <c:f>'Pivot Table'!$E$20:$E$21</c:f>
              <c:strCache>
                <c:ptCount val="1"/>
                <c:pt idx="0">
                  <c:v>Europe</c:v>
                </c:pt>
              </c:strCache>
            </c:strRef>
          </c:tx>
          <c:spPr>
            <a:solidFill>
              <a:schemeClr val="accent4"/>
            </a:solidFill>
            <a:ln>
              <a:noFill/>
            </a:ln>
            <a:effectLst/>
          </c:spPr>
          <c:invertIfNegative val="0"/>
          <c:cat>
            <c:strRef>
              <c:f>'Pivot Table'!$A$22:$A$27</c:f>
              <c:strCache>
                <c:ptCount val="5"/>
                <c:pt idx="0">
                  <c:v>2021</c:v>
                </c:pt>
                <c:pt idx="1">
                  <c:v>2022</c:v>
                </c:pt>
                <c:pt idx="2">
                  <c:v>2023</c:v>
                </c:pt>
                <c:pt idx="3">
                  <c:v>2024</c:v>
                </c:pt>
                <c:pt idx="4">
                  <c:v>2025</c:v>
                </c:pt>
              </c:strCache>
            </c:strRef>
          </c:cat>
          <c:val>
            <c:numRef>
              <c:f>'Pivot Table'!$E$22:$E$27</c:f>
              <c:numCache>
                <c:formatCode>General</c:formatCode>
                <c:ptCount val="5"/>
                <c:pt idx="0">
                  <c:v>2</c:v>
                </c:pt>
                <c:pt idx="1">
                  <c:v>14</c:v>
                </c:pt>
                <c:pt idx="2">
                  <c:v>20</c:v>
                </c:pt>
                <c:pt idx="3">
                  <c:v>9</c:v>
                </c:pt>
                <c:pt idx="4">
                  <c:v>2</c:v>
                </c:pt>
              </c:numCache>
            </c:numRef>
          </c:val>
          <c:extLst>
            <c:ext xmlns:c16="http://schemas.microsoft.com/office/drawing/2014/chart" uri="{C3380CC4-5D6E-409C-BE32-E72D297353CC}">
              <c16:uniqueId val="{00000002-7E56-470B-AB17-1AC2B57395BE}"/>
            </c:ext>
          </c:extLst>
        </c:ser>
        <c:ser>
          <c:idx val="4"/>
          <c:order val="4"/>
          <c:tx>
            <c:strRef>
              <c:f>'Pivot Table'!$F$20:$F$21</c:f>
              <c:strCache>
                <c:ptCount val="1"/>
                <c:pt idx="0">
                  <c:v>North America</c:v>
                </c:pt>
              </c:strCache>
            </c:strRef>
          </c:tx>
          <c:spPr>
            <a:solidFill>
              <a:schemeClr val="accent5"/>
            </a:solidFill>
            <a:ln>
              <a:noFill/>
            </a:ln>
            <a:effectLst/>
          </c:spPr>
          <c:invertIfNegative val="0"/>
          <c:cat>
            <c:strRef>
              <c:f>'Pivot Table'!$A$22:$A$27</c:f>
              <c:strCache>
                <c:ptCount val="5"/>
                <c:pt idx="0">
                  <c:v>2021</c:v>
                </c:pt>
                <c:pt idx="1">
                  <c:v>2022</c:v>
                </c:pt>
                <c:pt idx="2">
                  <c:v>2023</c:v>
                </c:pt>
                <c:pt idx="3">
                  <c:v>2024</c:v>
                </c:pt>
                <c:pt idx="4">
                  <c:v>2025</c:v>
                </c:pt>
              </c:strCache>
            </c:strRef>
          </c:cat>
          <c:val>
            <c:numRef>
              <c:f>'Pivot Table'!$F$22:$F$27</c:f>
              <c:numCache>
                <c:formatCode>General</c:formatCode>
                <c:ptCount val="5"/>
                <c:pt idx="0">
                  <c:v>1</c:v>
                </c:pt>
                <c:pt idx="1">
                  <c:v>4</c:v>
                </c:pt>
                <c:pt idx="2">
                  <c:v>11</c:v>
                </c:pt>
                <c:pt idx="3">
                  <c:v>5</c:v>
                </c:pt>
              </c:numCache>
            </c:numRef>
          </c:val>
          <c:extLst>
            <c:ext xmlns:c16="http://schemas.microsoft.com/office/drawing/2014/chart" uri="{C3380CC4-5D6E-409C-BE32-E72D297353CC}">
              <c16:uniqueId val="{00000005-7E56-470B-AB17-1AC2B57395BE}"/>
            </c:ext>
          </c:extLst>
        </c:ser>
        <c:ser>
          <c:idx val="5"/>
          <c:order val="5"/>
          <c:tx>
            <c:strRef>
              <c:f>'Pivot Table'!$G$20:$G$21</c:f>
              <c:strCache>
                <c:ptCount val="1"/>
                <c:pt idx="0">
                  <c:v>South America</c:v>
                </c:pt>
              </c:strCache>
            </c:strRef>
          </c:tx>
          <c:spPr>
            <a:solidFill>
              <a:schemeClr val="accent6"/>
            </a:solidFill>
            <a:ln>
              <a:noFill/>
            </a:ln>
            <a:effectLst/>
          </c:spPr>
          <c:invertIfNegative val="0"/>
          <c:cat>
            <c:strRef>
              <c:f>'Pivot Table'!$A$22:$A$27</c:f>
              <c:strCache>
                <c:ptCount val="5"/>
                <c:pt idx="0">
                  <c:v>2021</c:v>
                </c:pt>
                <c:pt idx="1">
                  <c:v>2022</c:v>
                </c:pt>
                <c:pt idx="2">
                  <c:v>2023</c:v>
                </c:pt>
                <c:pt idx="3">
                  <c:v>2024</c:v>
                </c:pt>
                <c:pt idx="4">
                  <c:v>2025</c:v>
                </c:pt>
              </c:strCache>
            </c:strRef>
          </c:cat>
          <c:val>
            <c:numRef>
              <c:f>'Pivot Table'!$G$22:$G$27</c:f>
              <c:numCache>
                <c:formatCode>General</c:formatCode>
                <c:ptCount val="5"/>
                <c:pt idx="1">
                  <c:v>2</c:v>
                </c:pt>
                <c:pt idx="2">
                  <c:v>1</c:v>
                </c:pt>
                <c:pt idx="3">
                  <c:v>3</c:v>
                </c:pt>
              </c:numCache>
            </c:numRef>
          </c:val>
          <c:extLst>
            <c:ext xmlns:c16="http://schemas.microsoft.com/office/drawing/2014/chart" uri="{C3380CC4-5D6E-409C-BE32-E72D297353CC}">
              <c16:uniqueId val="{00000006-7E56-470B-AB17-1AC2B57395BE}"/>
            </c:ext>
          </c:extLst>
        </c:ser>
        <c:dLbls>
          <c:showLegendKey val="0"/>
          <c:showVal val="0"/>
          <c:showCatName val="0"/>
          <c:showSerName val="0"/>
          <c:showPercent val="0"/>
          <c:showBubbleSize val="0"/>
        </c:dLbls>
        <c:gapWidth val="219"/>
        <c:overlap val="-27"/>
        <c:axId val="643144495"/>
        <c:axId val="640305151"/>
      </c:barChart>
      <c:catAx>
        <c:axId val="643144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640305151"/>
        <c:crosses val="autoZero"/>
        <c:auto val="1"/>
        <c:lblAlgn val="ctr"/>
        <c:lblOffset val="100"/>
        <c:noMultiLvlLbl val="0"/>
      </c:catAx>
      <c:valAx>
        <c:axId val="640305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64314449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[Travel details report 2024.xlsm]Pivot Table!PivotTable19</c:name>
    <c:fmtId val="3"/>
  </c:pivotSource>
  <c:chart>
    <c:title>
      <c:tx>
        <c:rich>
          <a:bodyPr rot="0" spcFirstLastPara="1" vertOverflow="ellipsis" vert="horz" wrap="square" anchor="ctr" anchorCtr="1"/>
          <a:lstStyle/>
          <a:p>
            <a:pPr>
              <a:defRPr lang="en-US" sz="1080" b="0" i="0" u="none" strike="noStrike" kern="1200" spc="0" baseline="0">
                <a:solidFill>
                  <a:schemeClr val="tx1"/>
                </a:solidFill>
                <a:latin typeface="+mn-lt"/>
                <a:ea typeface="+mn-ea"/>
                <a:cs typeface="+mn-cs"/>
              </a:defRPr>
            </a:pPr>
            <a:r>
              <a:rPr lang="en-IN"/>
              <a:t>Sum of Expenditures: Yearly and City</a:t>
            </a:r>
          </a:p>
        </c:rich>
      </c:tx>
      <c:overlay val="0"/>
      <c:spPr>
        <a:noFill/>
        <a:ln>
          <a:noFill/>
        </a:ln>
        <a:effectLst/>
      </c:spPr>
      <c:txPr>
        <a:bodyPr rot="0" spcFirstLastPara="1" vertOverflow="ellipsis" vert="horz" wrap="square" anchor="ctr" anchorCtr="1"/>
        <a:lstStyle/>
        <a:p>
          <a:pPr>
            <a:defRPr lang="en-US" sz="108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Table'!$M$6:$M$7</c:f>
              <c:strCache>
                <c:ptCount val="1"/>
                <c:pt idx="0">
                  <c:v>5</c:v>
                </c:pt>
              </c:strCache>
            </c:strRef>
          </c:tx>
          <c:spPr>
            <a:solidFill>
              <a:schemeClr val="accent1"/>
            </a:solidFill>
            <a:ln>
              <a:noFill/>
            </a:ln>
            <a:effectLst/>
          </c:spPr>
          <c:invertIfNegative val="0"/>
          <c:cat>
            <c:strRef>
              <c:f>'Pivot Table'!$L$8:$L$13</c:f>
              <c:strCache>
                <c:ptCount val="5"/>
                <c:pt idx="0">
                  <c:v>2021</c:v>
                </c:pt>
                <c:pt idx="1">
                  <c:v>2022</c:v>
                </c:pt>
                <c:pt idx="2">
                  <c:v>2023</c:v>
                </c:pt>
                <c:pt idx="3">
                  <c:v>2024</c:v>
                </c:pt>
                <c:pt idx="4">
                  <c:v>2025</c:v>
                </c:pt>
              </c:strCache>
            </c:strRef>
          </c:cat>
          <c:val>
            <c:numRef>
              <c:f>'Pivot Table'!$M$8:$M$13</c:f>
              <c:numCache>
                <c:formatCode>General</c:formatCode>
                <c:ptCount val="5"/>
                <c:pt idx="1">
                  <c:v>8050</c:v>
                </c:pt>
                <c:pt idx="2">
                  <c:v>5600</c:v>
                </c:pt>
              </c:numCache>
            </c:numRef>
          </c:val>
          <c:extLst>
            <c:ext xmlns:c16="http://schemas.microsoft.com/office/drawing/2014/chart" uri="{C3380CC4-5D6E-409C-BE32-E72D297353CC}">
              <c16:uniqueId val="{00000000-98D0-49C3-A5F8-77B46FCA3BCA}"/>
            </c:ext>
          </c:extLst>
        </c:ser>
        <c:ser>
          <c:idx val="1"/>
          <c:order val="1"/>
          <c:tx>
            <c:strRef>
              <c:f>'Pivot Table'!$N$6:$N$7</c:f>
              <c:strCache>
                <c:ptCount val="1"/>
                <c:pt idx="0">
                  <c:v>6</c:v>
                </c:pt>
              </c:strCache>
            </c:strRef>
          </c:tx>
          <c:spPr>
            <a:solidFill>
              <a:schemeClr val="accent2"/>
            </a:solidFill>
            <a:ln>
              <a:noFill/>
            </a:ln>
            <a:effectLst/>
          </c:spPr>
          <c:invertIfNegative val="0"/>
          <c:cat>
            <c:strRef>
              <c:f>'Pivot Table'!$L$8:$L$13</c:f>
              <c:strCache>
                <c:ptCount val="5"/>
                <c:pt idx="0">
                  <c:v>2021</c:v>
                </c:pt>
                <c:pt idx="1">
                  <c:v>2022</c:v>
                </c:pt>
                <c:pt idx="2">
                  <c:v>2023</c:v>
                </c:pt>
                <c:pt idx="3">
                  <c:v>2024</c:v>
                </c:pt>
                <c:pt idx="4">
                  <c:v>2025</c:v>
                </c:pt>
              </c:strCache>
            </c:strRef>
          </c:cat>
          <c:val>
            <c:numRef>
              <c:f>'Pivot Table'!$N$8:$N$13</c:f>
              <c:numCache>
                <c:formatCode>General</c:formatCode>
                <c:ptCount val="5"/>
                <c:pt idx="0">
                  <c:v>2200</c:v>
                </c:pt>
                <c:pt idx="1">
                  <c:v>2000</c:v>
                </c:pt>
                <c:pt idx="2">
                  <c:v>27800</c:v>
                </c:pt>
                <c:pt idx="3">
                  <c:v>5300</c:v>
                </c:pt>
                <c:pt idx="4">
                  <c:v>1400</c:v>
                </c:pt>
              </c:numCache>
            </c:numRef>
          </c:val>
          <c:extLst>
            <c:ext xmlns:c16="http://schemas.microsoft.com/office/drawing/2014/chart" uri="{C3380CC4-5D6E-409C-BE32-E72D297353CC}">
              <c16:uniqueId val="{00000003-D814-4F2F-8DA6-895E24575302}"/>
            </c:ext>
          </c:extLst>
        </c:ser>
        <c:ser>
          <c:idx val="2"/>
          <c:order val="2"/>
          <c:tx>
            <c:strRef>
              <c:f>'Pivot Table'!$O$6:$O$7</c:f>
              <c:strCache>
                <c:ptCount val="1"/>
                <c:pt idx="0">
                  <c:v>7</c:v>
                </c:pt>
              </c:strCache>
            </c:strRef>
          </c:tx>
          <c:spPr>
            <a:solidFill>
              <a:schemeClr val="accent3"/>
            </a:solidFill>
            <a:ln>
              <a:noFill/>
            </a:ln>
            <a:effectLst/>
          </c:spPr>
          <c:invertIfNegative val="0"/>
          <c:cat>
            <c:strRef>
              <c:f>'Pivot Table'!$L$8:$L$13</c:f>
              <c:strCache>
                <c:ptCount val="5"/>
                <c:pt idx="0">
                  <c:v>2021</c:v>
                </c:pt>
                <c:pt idx="1">
                  <c:v>2022</c:v>
                </c:pt>
                <c:pt idx="2">
                  <c:v>2023</c:v>
                </c:pt>
                <c:pt idx="3">
                  <c:v>2024</c:v>
                </c:pt>
                <c:pt idx="4">
                  <c:v>2025</c:v>
                </c:pt>
              </c:strCache>
            </c:strRef>
          </c:cat>
          <c:val>
            <c:numRef>
              <c:f>'Pivot Table'!$O$8:$O$13</c:f>
              <c:numCache>
                <c:formatCode>General</c:formatCode>
                <c:ptCount val="5"/>
                <c:pt idx="1">
                  <c:v>18300</c:v>
                </c:pt>
                <c:pt idx="2">
                  <c:v>60255</c:v>
                </c:pt>
                <c:pt idx="3">
                  <c:v>22200</c:v>
                </c:pt>
                <c:pt idx="4">
                  <c:v>1650</c:v>
                </c:pt>
              </c:numCache>
            </c:numRef>
          </c:val>
          <c:extLst>
            <c:ext xmlns:c16="http://schemas.microsoft.com/office/drawing/2014/chart" uri="{C3380CC4-5D6E-409C-BE32-E72D297353CC}">
              <c16:uniqueId val="{00000004-D814-4F2F-8DA6-895E24575302}"/>
            </c:ext>
          </c:extLst>
        </c:ser>
        <c:ser>
          <c:idx val="3"/>
          <c:order val="3"/>
          <c:tx>
            <c:strRef>
              <c:f>'Pivot Table'!$P$6:$P$7</c:f>
              <c:strCache>
                <c:ptCount val="1"/>
                <c:pt idx="0">
                  <c:v>8</c:v>
                </c:pt>
              </c:strCache>
            </c:strRef>
          </c:tx>
          <c:spPr>
            <a:solidFill>
              <a:schemeClr val="accent4"/>
            </a:solidFill>
            <a:ln>
              <a:noFill/>
            </a:ln>
            <a:effectLst/>
          </c:spPr>
          <c:invertIfNegative val="0"/>
          <c:cat>
            <c:strRef>
              <c:f>'Pivot Table'!$L$8:$L$13</c:f>
              <c:strCache>
                <c:ptCount val="5"/>
                <c:pt idx="0">
                  <c:v>2021</c:v>
                </c:pt>
                <c:pt idx="1">
                  <c:v>2022</c:v>
                </c:pt>
                <c:pt idx="2">
                  <c:v>2023</c:v>
                </c:pt>
                <c:pt idx="3">
                  <c:v>2024</c:v>
                </c:pt>
                <c:pt idx="4">
                  <c:v>2025</c:v>
                </c:pt>
              </c:strCache>
            </c:strRef>
          </c:cat>
          <c:val>
            <c:numRef>
              <c:f>'Pivot Table'!$P$8:$P$13</c:f>
              <c:numCache>
                <c:formatCode>General</c:formatCode>
                <c:ptCount val="5"/>
                <c:pt idx="1">
                  <c:v>13100</c:v>
                </c:pt>
                <c:pt idx="2">
                  <c:v>8450</c:v>
                </c:pt>
                <c:pt idx="3">
                  <c:v>11220</c:v>
                </c:pt>
                <c:pt idx="4">
                  <c:v>2800</c:v>
                </c:pt>
              </c:numCache>
            </c:numRef>
          </c:val>
          <c:extLst>
            <c:ext xmlns:c16="http://schemas.microsoft.com/office/drawing/2014/chart" uri="{C3380CC4-5D6E-409C-BE32-E72D297353CC}">
              <c16:uniqueId val="{00000005-D814-4F2F-8DA6-895E24575302}"/>
            </c:ext>
          </c:extLst>
        </c:ser>
        <c:ser>
          <c:idx val="4"/>
          <c:order val="4"/>
          <c:tx>
            <c:strRef>
              <c:f>'Pivot Table'!$Q$6:$Q$7</c:f>
              <c:strCache>
                <c:ptCount val="1"/>
                <c:pt idx="0">
                  <c:v>9</c:v>
                </c:pt>
              </c:strCache>
            </c:strRef>
          </c:tx>
          <c:spPr>
            <a:solidFill>
              <a:schemeClr val="accent5"/>
            </a:solidFill>
            <a:ln>
              <a:noFill/>
            </a:ln>
            <a:effectLst/>
          </c:spPr>
          <c:invertIfNegative val="0"/>
          <c:cat>
            <c:strRef>
              <c:f>'Pivot Table'!$L$8:$L$13</c:f>
              <c:strCache>
                <c:ptCount val="5"/>
                <c:pt idx="0">
                  <c:v>2021</c:v>
                </c:pt>
                <c:pt idx="1">
                  <c:v>2022</c:v>
                </c:pt>
                <c:pt idx="2">
                  <c:v>2023</c:v>
                </c:pt>
                <c:pt idx="3">
                  <c:v>2024</c:v>
                </c:pt>
                <c:pt idx="4">
                  <c:v>2025</c:v>
                </c:pt>
              </c:strCache>
            </c:strRef>
          </c:cat>
          <c:val>
            <c:numRef>
              <c:f>'Pivot Table'!$Q$8:$Q$13</c:f>
              <c:numCache>
                <c:formatCode>General</c:formatCode>
                <c:ptCount val="5"/>
                <c:pt idx="0">
                  <c:v>1500</c:v>
                </c:pt>
                <c:pt idx="1">
                  <c:v>7300</c:v>
                </c:pt>
                <c:pt idx="2">
                  <c:v>15300</c:v>
                </c:pt>
                <c:pt idx="3">
                  <c:v>3050</c:v>
                </c:pt>
              </c:numCache>
            </c:numRef>
          </c:val>
          <c:extLst>
            <c:ext xmlns:c16="http://schemas.microsoft.com/office/drawing/2014/chart" uri="{C3380CC4-5D6E-409C-BE32-E72D297353CC}">
              <c16:uniqueId val="{00000006-D814-4F2F-8DA6-895E24575302}"/>
            </c:ext>
          </c:extLst>
        </c:ser>
        <c:ser>
          <c:idx val="5"/>
          <c:order val="5"/>
          <c:tx>
            <c:strRef>
              <c:f>'Pivot Table'!$R$6:$R$7</c:f>
              <c:strCache>
                <c:ptCount val="1"/>
                <c:pt idx="0">
                  <c:v>10</c:v>
                </c:pt>
              </c:strCache>
            </c:strRef>
          </c:tx>
          <c:spPr>
            <a:solidFill>
              <a:schemeClr val="accent6"/>
            </a:solidFill>
            <a:ln>
              <a:noFill/>
            </a:ln>
            <a:effectLst/>
          </c:spPr>
          <c:invertIfNegative val="0"/>
          <c:cat>
            <c:strRef>
              <c:f>'Pivot Table'!$L$8:$L$13</c:f>
              <c:strCache>
                <c:ptCount val="5"/>
                <c:pt idx="0">
                  <c:v>2021</c:v>
                </c:pt>
                <c:pt idx="1">
                  <c:v>2022</c:v>
                </c:pt>
                <c:pt idx="2">
                  <c:v>2023</c:v>
                </c:pt>
                <c:pt idx="3">
                  <c:v>2024</c:v>
                </c:pt>
                <c:pt idx="4">
                  <c:v>2025</c:v>
                </c:pt>
              </c:strCache>
            </c:strRef>
          </c:cat>
          <c:val>
            <c:numRef>
              <c:f>'Pivot Table'!$R$8:$R$13</c:f>
              <c:numCache>
                <c:formatCode>General</c:formatCode>
                <c:ptCount val="5"/>
                <c:pt idx="0">
                  <c:v>800</c:v>
                </c:pt>
                <c:pt idx="1">
                  <c:v>5750</c:v>
                </c:pt>
                <c:pt idx="2">
                  <c:v>7800</c:v>
                </c:pt>
              </c:numCache>
            </c:numRef>
          </c:val>
          <c:extLst>
            <c:ext xmlns:c16="http://schemas.microsoft.com/office/drawing/2014/chart" uri="{C3380CC4-5D6E-409C-BE32-E72D297353CC}">
              <c16:uniqueId val="{00000007-D814-4F2F-8DA6-895E24575302}"/>
            </c:ext>
          </c:extLst>
        </c:ser>
        <c:ser>
          <c:idx val="6"/>
          <c:order val="6"/>
          <c:tx>
            <c:strRef>
              <c:f>'Pivot Table'!$S$6:$S$7</c:f>
              <c:strCache>
                <c:ptCount val="1"/>
                <c:pt idx="0">
                  <c:v>11</c:v>
                </c:pt>
              </c:strCache>
            </c:strRef>
          </c:tx>
          <c:spPr>
            <a:solidFill>
              <a:schemeClr val="accent1">
                <a:lumMod val="60000"/>
              </a:schemeClr>
            </a:solidFill>
            <a:ln>
              <a:noFill/>
            </a:ln>
            <a:effectLst/>
          </c:spPr>
          <c:invertIfNegative val="0"/>
          <c:cat>
            <c:strRef>
              <c:f>'Pivot Table'!$L$8:$L$13</c:f>
              <c:strCache>
                <c:ptCount val="5"/>
                <c:pt idx="0">
                  <c:v>2021</c:v>
                </c:pt>
                <c:pt idx="1">
                  <c:v>2022</c:v>
                </c:pt>
                <c:pt idx="2">
                  <c:v>2023</c:v>
                </c:pt>
                <c:pt idx="3">
                  <c:v>2024</c:v>
                </c:pt>
                <c:pt idx="4">
                  <c:v>2025</c:v>
                </c:pt>
              </c:strCache>
            </c:strRef>
          </c:cat>
          <c:val>
            <c:numRef>
              <c:f>'Pivot Table'!$S$8:$S$13</c:f>
              <c:numCache>
                <c:formatCode>General</c:formatCode>
                <c:ptCount val="5"/>
                <c:pt idx="0">
                  <c:v>2600</c:v>
                </c:pt>
                <c:pt idx="1">
                  <c:v>4150</c:v>
                </c:pt>
              </c:numCache>
            </c:numRef>
          </c:val>
          <c:extLst>
            <c:ext xmlns:c16="http://schemas.microsoft.com/office/drawing/2014/chart" uri="{C3380CC4-5D6E-409C-BE32-E72D297353CC}">
              <c16:uniqueId val="{00000008-D814-4F2F-8DA6-895E24575302}"/>
            </c:ext>
          </c:extLst>
        </c:ser>
        <c:ser>
          <c:idx val="7"/>
          <c:order val="7"/>
          <c:tx>
            <c:strRef>
              <c:f>'Pivot Table'!$T$6:$T$7</c:f>
              <c:strCache>
                <c:ptCount val="1"/>
                <c:pt idx="0">
                  <c:v>13</c:v>
                </c:pt>
              </c:strCache>
            </c:strRef>
          </c:tx>
          <c:spPr>
            <a:solidFill>
              <a:schemeClr val="accent2">
                <a:lumMod val="60000"/>
              </a:schemeClr>
            </a:solidFill>
            <a:ln>
              <a:noFill/>
            </a:ln>
            <a:effectLst/>
          </c:spPr>
          <c:invertIfNegative val="0"/>
          <c:cat>
            <c:strRef>
              <c:f>'Pivot Table'!$L$8:$L$13</c:f>
              <c:strCache>
                <c:ptCount val="5"/>
                <c:pt idx="0">
                  <c:v>2021</c:v>
                </c:pt>
                <c:pt idx="1">
                  <c:v>2022</c:v>
                </c:pt>
                <c:pt idx="2">
                  <c:v>2023</c:v>
                </c:pt>
                <c:pt idx="3">
                  <c:v>2024</c:v>
                </c:pt>
                <c:pt idx="4">
                  <c:v>2025</c:v>
                </c:pt>
              </c:strCache>
            </c:strRef>
          </c:cat>
          <c:val>
            <c:numRef>
              <c:f>'Pivot Table'!$T$8:$T$13</c:f>
              <c:numCache>
                <c:formatCode>General</c:formatCode>
                <c:ptCount val="5"/>
                <c:pt idx="1">
                  <c:v>1500</c:v>
                </c:pt>
              </c:numCache>
            </c:numRef>
          </c:val>
          <c:extLst>
            <c:ext xmlns:c16="http://schemas.microsoft.com/office/drawing/2014/chart" uri="{C3380CC4-5D6E-409C-BE32-E72D297353CC}">
              <c16:uniqueId val="{00000009-D814-4F2F-8DA6-895E24575302}"/>
            </c:ext>
          </c:extLst>
        </c:ser>
        <c:ser>
          <c:idx val="8"/>
          <c:order val="8"/>
          <c:tx>
            <c:strRef>
              <c:f>'Pivot Table'!$U$6:$U$7</c:f>
              <c:strCache>
                <c:ptCount val="1"/>
                <c:pt idx="0">
                  <c:v>14</c:v>
                </c:pt>
              </c:strCache>
            </c:strRef>
          </c:tx>
          <c:spPr>
            <a:solidFill>
              <a:schemeClr val="accent3">
                <a:lumMod val="60000"/>
              </a:schemeClr>
            </a:solidFill>
            <a:ln>
              <a:noFill/>
            </a:ln>
            <a:effectLst/>
          </c:spPr>
          <c:invertIfNegative val="0"/>
          <c:cat>
            <c:strRef>
              <c:f>'Pivot Table'!$L$8:$L$13</c:f>
              <c:strCache>
                <c:ptCount val="5"/>
                <c:pt idx="0">
                  <c:v>2021</c:v>
                </c:pt>
                <c:pt idx="1">
                  <c:v>2022</c:v>
                </c:pt>
                <c:pt idx="2">
                  <c:v>2023</c:v>
                </c:pt>
                <c:pt idx="3">
                  <c:v>2024</c:v>
                </c:pt>
                <c:pt idx="4">
                  <c:v>2025</c:v>
                </c:pt>
              </c:strCache>
            </c:strRef>
          </c:cat>
          <c:val>
            <c:numRef>
              <c:f>'Pivot Table'!$U$8:$U$13</c:f>
              <c:numCache>
                <c:formatCode>General</c:formatCode>
                <c:ptCount val="5"/>
                <c:pt idx="2">
                  <c:v>3000</c:v>
                </c:pt>
              </c:numCache>
            </c:numRef>
          </c:val>
          <c:extLst>
            <c:ext xmlns:c16="http://schemas.microsoft.com/office/drawing/2014/chart" uri="{C3380CC4-5D6E-409C-BE32-E72D297353CC}">
              <c16:uniqueId val="{0000000A-D814-4F2F-8DA6-895E24575302}"/>
            </c:ext>
          </c:extLst>
        </c:ser>
        <c:dLbls>
          <c:showLegendKey val="0"/>
          <c:showVal val="0"/>
          <c:showCatName val="0"/>
          <c:showSerName val="0"/>
          <c:showPercent val="0"/>
          <c:showBubbleSize val="0"/>
        </c:dLbls>
        <c:gapWidth val="219"/>
        <c:overlap val="-27"/>
        <c:axId val="842989311"/>
        <c:axId val="842349551"/>
      </c:barChart>
      <c:catAx>
        <c:axId val="84298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crossAx val="842349551"/>
        <c:crosses val="autoZero"/>
        <c:auto val="1"/>
        <c:lblAlgn val="ctr"/>
        <c:lblOffset val="100"/>
        <c:noMultiLvlLbl val="0"/>
      </c:catAx>
      <c:valAx>
        <c:axId val="842349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crossAx val="8429893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[Travel details report 2024.xlsm]Pivot Table!PivotTable17</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Accommodation Cost Distribution by Region and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894737733130646"/>
          <c:y val="0.23504644842876499"/>
          <c:w val="0.70277229029041632"/>
          <c:h val="0.68240466740973449"/>
        </c:manualLayout>
      </c:layout>
      <c:barChart>
        <c:barDir val="bar"/>
        <c:grouping val="clustered"/>
        <c:varyColors val="0"/>
        <c:ser>
          <c:idx val="0"/>
          <c:order val="0"/>
          <c:tx>
            <c:strRef>
              <c:f>'Pivot Table'!$M$46:$M$47</c:f>
              <c:strCache>
                <c:ptCount val="1"/>
                <c:pt idx="0">
                  <c:v>Airbnb</c:v>
                </c:pt>
              </c:strCache>
            </c:strRef>
          </c:tx>
          <c:spPr>
            <a:solidFill>
              <a:schemeClr val="accent1"/>
            </a:solidFill>
            <a:ln>
              <a:noFill/>
            </a:ln>
            <a:effectLst/>
          </c:spPr>
          <c:invertIfNegative val="0"/>
          <c:cat>
            <c:strRef>
              <c:f>'Pivot Table'!$L$48:$L$54</c:f>
              <c:strCache>
                <c:ptCount val="6"/>
                <c:pt idx="0">
                  <c:v>Africa</c:v>
                </c:pt>
                <c:pt idx="1">
                  <c:v>Asia</c:v>
                </c:pt>
                <c:pt idx="2">
                  <c:v>Australia</c:v>
                </c:pt>
                <c:pt idx="3">
                  <c:v>Europe</c:v>
                </c:pt>
                <c:pt idx="4">
                  <c:v>North America</c:v>
                </c:pt>
                <c:pt idx="5">
                  <c:v>South America</c:v>
                </c:pt>
              </c:strCache>
            </c:strRef>
          </c:cat>
          <c:val>
            <c:numRef>
              <c:f>'Pivot Table'!$M$48:$M$54</c:f>
              <c:numCache>
                <c:formatCode>General</c:formatCode>
                <c:ptCount val="6"/>
                <c:pt idx="0">
                  <c:v>500</c:v>
                </c:pt>
                <c:pt idx="1">
                  <c:v>10300</c:v>
                </c:pt>
                <c:pt idx="2">
                  <c:v>3400</c:v>
                </c:pt>
                <c:pt idx="3">
                  <c:v>11200</c:v>
                </c:pt>
                <c:pt idx="4">
                  <c:v>2950</c:v>
                </c:pt>
                <c:pt idx="5">
                  <c:v>1700</c:v>
                </c:pt>
              </c:numCache>
            </c:numRef>
          </c:val>
          <c:extLst>
            <c:ext xmlns:c16="http://schemas.microsoft.com/office/drawing/2014/chart" uri="{C3380CC4-5D6E-409C-BE32-E72D297353CC}">
              <c16:uniqueId val="{00000000-6B56-4D5E-8508-9064285B8AB6}"/>
            </c:ext>
          </c:extLst>
        </c:ser>
        <c:ser>
          <c:idx val="1"/>
          <c:order val="1"/>
          <c:tx>
            <c:strRef>
              <c:f>'Pivot Table'!$N$46:$N$47</c:f>
              <c:strCache>
                <c:ptCount val="1"/>
                <c:pt idx="0">
                  <c:v>Guesthouse</c:v>
                </c:pt>
              </c:strCache>
            </c:strRef>
          </c:tx>
          <c:spPr>
            <a:solidFill>
              <a:schemeClr val="accent2"/>
            </a:solidFill>
            <a:ln>
              <a:noFill/>
            </a:ln>
            <a:effectLst/>
          </c:spPr>
          <c:invertIfNegative val="0"/>
          <c:cat>
            <c:strRef>
              <c:f>'Pivot Table'!$L$48:$L$54</c:f>
              <c:strCache>
                <c:ptCount val="6"/>
                <c:pt idx="0">
                  <c:v>Africa</c:v>
                </c:pt>
                <c:pt idx="1">
                  <c:v>Asia</c:v>
                </c:pt>
                <c:pt idx="2">
                  <c:v>Australia</c:v>
                </c:pt>
                <c:pt idx="3">
                  <c:v>Europe</c:v>
                </c:pt>
                <c:pt idx="4">
                  <c:v>North America</c:v>
                </c:pt>
                <c:pt idx="5">
                  <c:v>South America</c:v>
                </c:pt>
              </c:strCache>
            </c:strRef>
          </c:cat>
          <c:val>
            <c:numRef>
              <c:f>'Pivot Table'!$N$48:$N$54</c:f>
              <c:numCache>
                <c:formatCode>General</c:formatCode>
                <c:ptCount val="6"/>
                <c:pt idx="0">
                  <c:v>400</c:v>
                </c:pt>
              </c:numCache>
            </c:numRef>
          </c:val>
          <c:extLst>
            <c:ext xmlns:c16="http://schemas.microsoft.com/office/drawing/2014/chart" uri="{C3380CC4-5D6E-409C-BE32-E72D297353CC}">
              <c16:uniqueId val="{00000005-84B8-4721-B7D4-B44ABFB3F674}"/>
            </c:ext>
          </c:extLst>
        </c:ser>
        <c:ser>
          <c:idx val="2"/>
          <c:order val="2"/>
          <c:tx>
            <c:strRef>
              <c:f>'Pivot Table'!$O$46:$O$47</c:f>
              <c:strCache>
                <c:ptCount val="1"/>
                <c:pt idx="0">
                  <c:v>Hostel</c:v>
                </c:pt>
              </c:strCache>
            </c:strRef>
          </c:tx>
          <c:spPr>
            <a:solidFill>
              <a:schemeClr val="accent3"/>
            </a:solidFill>
            <a:ln>
              <a:noFill/>
            </a:ln>
            <a:effectLst/>
          </c:spPr>
          <c:invertIfNegative val="0"/>
          <c:cat>
            <c:strRef>
              <c:f>'Pivot Table'!$L$48:$L$54</c:f>
              <c:strCache>
                <c:ptCount val="6"/>
                <c:pt idx="0">
                  <c:v>Africa</c:v>
                </c:pt>
                <c:pt idx="1">
                  <c:v>Asia</c:v>
                </c:pt>
                <c:pt idx="2">
                  <c:v>Australia</c:v>
                </c:pt>
                <c:pt idx="3">
                  <c:v>Europe</c:v>
                </c:pt>
                <c:pt idx="4">
                  <c:v>North America</c:v>
                </c:pt>
                <c:pt idx="5">
                  <c:v>South America</c:v>
                </c:pt>
              </c:strCache>
            </c:strRef>
          </c:cat>
          <c:val>
            <c:numRef>
              <c:f>'Pivot Table'!$O$48:$O$54</c:f>
              <c:numCache>
                <c:formatCode>General</c:formatCode>
                <c:ptCount val="6"/>
                <c:pt idx="0">
                  <c:v>3000</c:v>
                </c:pt>
                <c:pt idx="1">
                  <c:v>6200</c:v>
                </c:pt>
                <c:pt idx="2">
                  <c:v>1000</c:v>
                </c:pt>
                <c:pt idx="3">
                  <c:v>1680</c:v>
                </c:pt>
                <c:pt idx="4">
                  <c:v>400</c:v>
                </c:pt>
                <c:pt idx="5">
                  <c:v>2650</c:v>
                </c:pt>
              </c:numCache>
            </c:numRef>
          </c:val>
          <c:extLst>
            <c:ext xmlns:c16="http://schemas.microsoft.com/office/drawing/2014/chart" uri="{C3380CC4-5D6E-409C-BE32-E72D297353CC}">
              <c16:uniqueId val="{00000006-84B8-4721-B7D4-B44ABFB3F674}"/>
            </c:ext>
          </c:extLst>
        </c:ser>
        <c:ser>
          <c:idx val="3"/>
          <c:order val="3"/>
          <c:tx>
            <c:strRef>
              <c:f>'Pivot Table'!$P$46:$P$47</c:f>
              <c:strCache>
                <c:ptCount val="1"/>
                <c:pt idx="0">
                  <c:v>Hotel</c:v>
                </c:pt>
              </c:strCache>
            </c:strRef>
          </c:tx>
          <c:spPr>
            <a:solidFill>
              <a:schemeClr val="accent4"/>
            </a:solidFill>
            <a:ln>
              <a:noFill/>
            </a:ln>
            <a:effectLst/>
          </c:spPr>
          <c:invertIfNegative val="0"/>
          <c:cat>
            <c:strRef>
              <c:f>'Pivot Table'!$L$48:$L$54</c:f>
              <c:strCache>
                <c:ptCount val="6"/>
                <c:pt idx="0">
                  <c:v>Africa</c:v>
                </c:pt>
                <c:pt idx="1">
                  <c:v>Asia</c:v>
                </c:pt>
                <c:pt idx="2">
                  <c:v>Australia</c:v>
                </c:pt>
                <c:pt idx="3">
                  <c:v>Europe</c:v>
                </c:pt>
                <c:pt idx="4">
                  <c:v>North America</c:v>
                </c:pt>
                <c:pt idx="5">
                  <c:v>South America</c:v>
                </c:pt>
              </c:strCache>
            </c:strRef>
          </c:cat>
          <c:val>
            <c:numRef>
              <c:f>'Pivot Table'!$P$48:$P$54</c:f>
              <c:numCache>
                <c:formatCode>General</c:formatCode>
                <c:ptCount val="6"/>
                <c:pt idx="0">
                  <c:v>700</c:v>
                </c:pt>
                <c:pt idx="1">
                  <c:v>9700</c:v>
                </c:pt>
                <c:pt idx="2">
                  <c:v>18300</c:v>
                </c:pt>
                <c:pt idx="3">
                  <c:v>34600</c:v>
                </c:pt>
                <c:pt idx="4">
                  <c:v>22600</c:v>
                </c:pt>
                <c:pt idx="5">
                  <c:v>2100</c:v>
                </c:pt>
              </c:numCache>
            </c:numRef>
          </c:val>
          <c:extLst>
            <c:ext xmlns:c16="http://schemas.microsoft.com/office/drawing/2014/chart" uri="{C3380CC4-5D6E-409C-BE32-E72D297353CC}">
              <c16:uniqueId val="{00000007-84B8-4721-B7D4-B44ABFB3F674}"/>
            </c:ext>
          </c:extLst>
        </c:ser>
        <c:ser>
          <c:idx val="4"/>
          <c:order val="4"/>
          <c:tx>
            <c:strRef>
              <c:f>'Pivot Table'!$Q$46:$Q$47</c:f>
              <c:strCache>
                <c:ptCount val="1"/>
                <c:pt idx="0">
                  <c:v>Resort</c:v>
                </c:pt>
              </c:strCache>
            </c:strRef>
          </c:tx>
          <c:spPr>
            <a:solidFill>
              <a:schemeClr val="accent5"/>
            </a:solidFill>
            <a:ln>
              <a:noFill/>
            </a:ln>
            <a:effectLst/>
          </c:spPr>
          <c:invertIfNegative val="0"/>
          <c:cat>
            <c:strRef>
              <c:f>'Pivot Table'!$L$48:$L$54</c:f>
              <c:strCache>
                <c:ptCount val="6"/>
                <c:pt idx="0">
                  <c:v>Africa</c:v>
                </c:pt>
                <c:pt idx="1">
                  <c:v>Asia</c:v>
                </c:pt>
                <c:pt idx="2">
                  <c:v>Australia</c:v>
                </c:pt>
                <c:pt idx="3">
                  <c:v>Europe</c:v>
                </c:pt>
                <c:pt idx="4">
                  <c:v>North America</c:v>
                </c:pt>
                <c:pt idx="5">
                  <c:v>South America</c:v>
                </c:pt>
              </c:strCache>
            </c:strRef>
          </c:cat>
          <c:val>
            <c:numRef>
              <c:f>'Pivot Table'!$Q$48:$Q$54</c:f>
              <c:numCache>
                <c:formatCode>General</c:formatCode>
                <c:ptCount val="6"/>
                <c:pt idx="1">
                  <c:v>13300</c:v>
                </c:pt>
                <c:pt idx="4">
                  <c:v>8000</c:v>
                </c:pt>
              </c:numCache>
            </c:numRef>
          </c:val>
          <c:extLst>
            <c:ext xmlns:c16="http://schemas.microsoft.com/office/drawing/2014/chart" uri="{C3380CC4-5D6E-409C-BE32-E72D297353CC}">
              <c16:uniqueId val="{00000008-84B8-4721-B7D4-B44ABFB3F674}"/>
            </c:ext>
          </c:extLst>
        </c:ser>
        <c:ser>
          <c:idx val="5"/>
          <c:order val="5"/>
          <c:tx>
            <c:strRef>
              <c:f>'Pivot Table'!$R$46:$R$47</c:f>
              <c:strCache>
                <c:ptCount val="1"/>
                <c:pt idx="0">
                  <c:v>Riad</c:v>
                </c:pt>
              </c:strCache>
            </c:strRef>
          </c:tx>
          <c:spPr>
            <a:solidFill>
              <a:schemeClr val="accent6"/>
            </a:solidFill>
            <a:ln>
              <a:noFill/>
            </a:ln>
            <a:effectLst/>
          </c:spPr>
          <c:invertIfNegative val="0"/>
          <c:cat>
            <c:strRef>
              <c:f>'Pivot Table'!$L$48:$L$54</c:f>
              <c:strCache>
                <c:ptCount val="6"/>
                <c:pt idx="0">
                  <c:v>Africa</c:v>
                </c:pt>
                <c:pt idx="1">
                  <c:v>Asia</c:v>
                </c:pt>
                <c:pt idx="2">
                  <c:v>Australia</c:v>
                </c:pt>
                <c:pt idx="3">
                  <c:v>Europe</c:v>
                </c:pt>
                <c:pt idx="4">
                  <c:v>North America</c:v>
                </c:pt>
                <c:pt idx="5">
                  <c:v>South America</c:v>
                </c:pt>
              </c:strCache>
            </c:strRef>
          </c:cat>
          <c:val>
            <c:numRef>
              <c:f>'Pivot Table'!$R$48:$R$54</c:f>
              <c:numCache>
                <c:formatCode>General</c:formatCode>
                <c:ptCount val="6"/>
                <c:pt idx="0">
                  <c:v>600</c:v>
                </c:pt>
              </c:numCache>
            </c:numRef>
          </c:val>
          <c:extLst>
            <c:ext xmlns:c16="http://schemas.microsoft.com/office/drawing/2014/chart" uri="{C3380CC4-5D6E-409C-BE32-E72D297353CC}">
              <c16:uniqueId val="{00000009-84B8-4721-B7D4-B44ABFB3F674}"/>
            </c:ext>
          </c:extLst>
        </c:ser>
        <c:ser>
          <c:idx val="6"/>
          <c:order val="6"/>
          <c:tx>
            <c:strRef>
              <c:f>'Pivot Table'!$S$46:$S$47</c:f>
              <c:strCache>
                <c:ptCount val="1"/>
                <c:pt idx="0">
                  <c:v>Vacationrental</c:v>
                </c:pt>
              </c:strCache>
            </c:strRef>
          </c:tx>
          <c:spPr>
            <a:solidFill>
              <a:schemeClr val="accent1">
                <a:lumMod val="60000"/>
              </a:schemeClr>
            </a:solidFill>
            <a:ln>
              <a:noFill/>
            </a:ln>
            <a:effectLst/>
          </c:spPr>
          <c:invertIfNegative val="0"/>
          <c:cat>
            <c:strRef>
              <c:f>'Pivot Table'!$L$48:$L$54</c:f>
              <c:strCache>
                <c:ptCount val="6"/>
                <c:pt idx="0">
                  <c:v>Africa</c:v>
                </c:pt>
                <c:pt idx="1">
                  <c:v>Asia</c:v>
                </c:pt>
                <c:pt idx="2">
                  <c:v>Australia</c:v>
                </c:pt>
                <c:pt idx="3">
                  <c:v>Europe</c:v>
                </c:pt>
                <c:pt idx="4">
                  <c:v>North America</c:v>
                </c:pt>
                <c:pt idx="5">
                  <c:v>South America</c:v>
                </c:pt>
              </c:strCache>
            </c:strRef>
          </c:cat>
          <c:val>
            <c:numRef>
              <c:f>'Pivot Table'!$S$48:$S$54</c:f>
              <c:numCache>
                <c:formatCode>General</c:formatCode>
                <c:ptCount val="6"/>
                <c:pt idx="0">
                  <c:v>800</c:v>
                </c:pt>
                <c:pt idx="3">
                  <c:v>900</c:v>
                </c:pt>
                <c:pt idx="4">
                  <c:v>1000</c:v>
                </c:pt>
              </c:numCache>
            </c:numRef>
          </c:val>
          <c:extLst>
            <c:ext xmlns:c16="http://schemas.microsoft.com/office/drawing/2014/chart" uri="{C3380CC4-5D6E-409C-BE32-E72D297353CC}">
              <c16:uniqueId val="{0000000A-84B8-4721-B7D4-B44ABFB3F674}"/>
            </c:ext>
          </c:extLst>
        </c:ser>
        <c:ser>
          <c:idx val="7"/>
          <c:order val="7"/>
          <c:tx>
            <c:strRef>
              <c:f>'Pivot Table'!$T$46:$T$47</c:f>
              <c:strCache>
                <c:ptCount val="1"/>
                <c:pt idx="0">
                  <c:v>Villa</c:v>
                </c:pt>
              </c:strCache>
            </c:strRef>
          </c:tx>
          <c:spPr>
            <a:solidFill>
              <a:schemeClr val="accent2">
                <a:lumMod val="60000"/>
              </a:schemeClr>
            </a:solidFill>
            <a:ln>
              <a:noFill/>
            </a:ln>
            <a:effectLst/>
          </c:spPr>
          <c:invertIfNegative val="0"/>
          <c:cat>
            <c:strRef>
              <c:f>'Pivot Table'!$L$48:$L$54</c:f>
              <c:strCache>
                <c:ptCount val="6"/>
                <c:pt idx="0">
                  <c:v>Africa</c:v>
                </c:pt>
                <c:pt idx="1">
                  <c:v>Asia</c:v>
                </c:pt>
                <c:pt idx="2">
                  <c:v>Australia</c:v>
                </c:pt>
                <c:pt idx="3">
                  <c:v>Europe</c:v>
                </c:pt>
                <c:pt idx="4">
                  <c:v>North America</c:v>
                </c:pt>
                <c:pt idx="5">
                  <c:v>South America</c:v>
                </c:pt>
              </c:strCache>
            </c:strRef>
          </c:cat>
          <c:val>
            <c:numRef>
              <c:f>'Pivot Table'!$T$48:$T$54</c:f>
              <c:numCache>
                <c:formatCode>General</c:formatCode>
                <c:ptCount val="6"/>
                <c:pt idx="1">
                  <c:v>5700</c:v>
                </c:pt>
              </c:numCache>
            </c:numRef>
          </c:val>
          <c:extLst>
            <c:ext xmlns:c16="http://schemas.microsoft.com/office/drawing/2014/chart" uri="{C3380CC4-5D6E-409C-BE32-E72D297353CC}">
              <c16:uniqueId val="{0000000B-84B8-4721-B7D4-B44ABFB3F674}"/>
            </c:ext>
          </c:extLst>
        </c:ser>
        <c:dLbls>
          <c:showLegendKey val="0"/>
          <c:showVal val="0"/>
          <c:showCatName val="0"/>
          <c:showSerName val="0"/>
          <c:showPercent val="0"/>
          <c:showBubbleSize val="0"/>
        </c:dLbls>
        <c:gapWidth val="182"/>
        <c:axId val="842963871"/>
        <c:axId val="640312591"/>
      </c:barChart>
      <c:catAx>
        <c:axId val="84296387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312591"/>
        <c:crosses val="autoZero"/>
        <c:auto val="1"/>
        <c:lblAlgn val="ctr"/>
        <c:lblOffset val="100"/>
        <c:noMultiLvlLbl val="0"/>
      </c:catAx>
      <c:valAx>
        <c:axId val="6403125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96387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[Travel details report 2024.xlsm]Pivot Table!PivotTable5</c:name>
    <c:fmtId val="9"/>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b="0"/>
              <a:t>Transportation Cost Breakdown by Mode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6.7551068269130807E-2"/>
              <c:y val="6.64115739638105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01326602403696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1360861481626547"/>
              <c:y val="-3.01870790744593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9.5185596197411584E-2"/>
              <c:y val="-9.05612372233782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6.7551068269130807E-2"/>
              <c:y val="6.64115739638105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01326602403696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1360861481626547"/>
              <c:y val="-3.01870790744593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9.5185596197411584E-2"/>
              <c:y val="-9.05612372233782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6.7551068269130807E-2"/>
              <c:y val="6.64115739638105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01326602403696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1360861481626547"/>
              <c:y val="-3.01870790744593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9.5185596197411584E-2"/>
              <c:y val="-9.05612372233782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Table'!$B$3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AA17-4FCF-8786-3B0B4179BF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AA17-4FCF-8786-3B0B4179BF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AA17-4FCF-8786-3B0B4179BF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AA17-4FCF-8786-3B0B4179BF16}"/>
              </c:ext>
            </c:extLst>
          </c:dPt>
          <c:dLbls>
            <c:dLbl>
              <c:idx val="0"/>
              <c:layout>
                <c:manualLayout>
                  <c:x val="6.7551068269130807E-2"/>
                  <c:y val="6.64115739638105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17-4FCF-8786-3B0B4179BF16}"/>
                </c:ext>
              </c:extLst>
            </c:dLbl>
            <c:dLbl>
              <c:idx val="1"/>
              <c:layout>
                <c:manualLayout>
                  <c:x val="-0.101326602403696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17-4FCF-8786-3B0B4179BF16}"/>
                </c:ext>
              </c:extLst>
            </c:dLbl>
            <c:dLbl>
              <c:idx val="2"/>
              <c:layout>
                <c:manualLayout>
                  <c:x val="-0.11360861481626547"/>
                  <c:y val="-3.01870790744593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A17-4FCF-8786-3B0B4179BF16}"/>
                </c:ext>
              </c:extLst>
            </c:dLbl>
            <c:dLbl>
              <c:idx val="3"/>
              <c:layout>
                <c:manualLayout>
                  <c:x val="9.5185596197411584E-2"/>
                  <c:y val="-9.05612372233782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A17-4FCF-8786-3B0B4179BF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'Pivot Table'!$A$4:$A$8</c:f>
              <c:strCache>
                <c:ptCount val="4"/>
                <c:pt idx="0">
                  <c:v>Airway</c:v>
                </c:pt>
                <c:pt idx="1">
                  <c:v>Railway</c:v>
                </c:pt>
                <c:pt idx="2">
                  <c:v>Roadway</c:v>
                </c:pt>
                <c:pt idx="3">
                  <c:v>Waterway</c:v>
                </c:pt>
              </c:strCache>
            </c:strRef>
          </c:cat>
          <c:val>
            <c:numRef>
              <c:f>'Pivot Table'!$B$4:$B$8</c:f>
              <c:numCache>
                <c:formatCode>General</c:formatCode>
                <c:ptCount val="4"/>
                <c:pt idx="0">
                  <c:v>57850</c:v>
                </c:pt>
                <c:pt idx="1">
                  <c:v>12770</c:v>
                </c:pt>
                <c:pt idx="2">
                  <c:v>8625</c:v>
                </c:pt>
                <c:pt idx="3">
                  <c:v>150</c:v>
                </c:pt>
              </c:numCache>
            </c:numRef>
          </c:val>
          <c:extLst>
            <c:ext xmlns:c16="http://schemas.microsoft.com/office/drawing/2014/chart" uri="{C3380CC4-5D6E-409C-BE32-E72D297353CC}">
              <c16:uniqueId val="{00000008-AA17-4FCF-8786-3B0B4179BF16}"/>
            </c:ext>
          </c:extLst>
        </c:ser>
        <c:dLbls>
          <c:showLegendKey val="0"/>
          <c:showVal val="1"/>
          <c:showCatName val="0"/>
          <c:showSerName val="0"/>
          <c:showPercent val="0"/>
          <c:showBubbleSize val="0"/>
          <c:showLeaderLines val="1"/>
        </c:dLbls>
        <c:firstSliceAng val="0"/>
        <c:holeSize val="64"/>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[Travel details report 2024.xlsm]Pivot Table!PivotTable14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Count of Female and Male Entries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'Pivot Table'!$B$13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F0-4BAC-A99C-6A702CA1B33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6F0-4BAC-A99C-6A702CA1B33A}"/>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Table'!$A$14:$A$16</c:f>
              <c:strCache>
                <c:ptCount val="2"/>
                <c:pt idx="0">
                  <c:v>Female</c:v>
                </c:pt>
                <c:pt idx="1">
                  <c:v>Male</c:v>
                </c:pt>
              </c:strCache>
            </c:strRef>
          </c:cat>
          <c:val>
            <c:numRef>
              <c:f>'Pivot Table'!$B$14:$B$16</c:f>
              <c:numCache>
                <c:formatCode>General</c:formatCode>
                <c:ptCount val="2"/>
                <c:pt idx="0">
                  <c:v>70</c:v>
                </c:pt>
                <c:pt idx="1">
                  <c:v>67</c:v>
                </c:pt>
              </c:numCache>
            </c:numRef>
          </c:val>
          <c:extLst>
            <c:ext xmlns:c16="http://schemas.microsoft.com/office/drawing/2014/chart" uri="{C3380CC4-5D6E-409C-BE32-E72D297353CC}">
              <c16:uniqueId val="{00000004-06F0-4BAC-A99C-6A702CA1B33A}"/>
            </c:ext>
          </c:extLst>
        </c:ser>
        <c:dLbls>
          <c:showLegendKey val="0"/>
          <c:showVal val="0"/>
          <c:showCatName val="0"/>
          <c:showSerName val="0"/>
          <c:showPercent val="0"/>
          <c:showBubbleSize val="0"/>
          <c:showLeaderLines val="0"/>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[Travel details report 2024.xlsm]Pivot Table!PivotTable12</c:name>
    <c:fmtId val="10"/>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IN" sz="1400"/>
              <a:t>Transportation cost vs Accommodation cost</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Table'!$M$16</c:f>
              <c:strCache>
                <c:ptCount val="1"/>
                <c:pt idx="0">
                  <c:v>Sum of Transportation cost</c:v>
                </c:pt>
              </c:strCache>
            </c:strRef>
          </c:tx>
          <c:spPr>
            <a:ln w="28575" cap="rnd">
              <a:solidFill>
                <a:schemeClr val="accent1"/>
              </a:solidFill>
              <a:round/>
            </a:ln>
            <a:effectLst/>
          </c:spPr>
          <c:marker>
            <c:symbol val="none"/>
          </c:marker>
          <c:cat>
            <c:strRef>
              <c:f>'Pivot Table'!$L$17:$L$41</c:f>
              <c:strCache>
                <c:ptCount val="24"/>
                <c:pt idx="0">
                  <c:v>Australia</c:v>
                </c:pt>
                <c:pt idx="1">
                  <c:v>Brazil</c:v>
                </c:pt>
                <c:pt idx="2">
                  <c:v>Cambodia</c:v>
                </c:pt>
                <c:pt idx="3">
                  <c:v>Canada</c:v>
                </c:pt>
                <c:pt idx="4">
                  <c:v>Egypt</c:v>
                </c:pt>
                <c:pt idx="5">
                  <c:v>France</c:v>
                </c:pt>
                <c:pt idx="6">
                  <c:v>Germany</c:v>
                </c:pt>
                <c:pt idx="7">
                  <c:v>Greece</c:v>
                </c:pt>
                <c:pt idx="8">
                  <c:v>Hawaii</c:v>
                </c:pt>
                <c:pt idx="9">
                  <c:v>Indonesia</c:v>
                </c:pt>
                <c:pt idx="10">
                  <c:v>Italy</c:v>
                </c:pt>
                <c:pt idx="11">
                  <c:v>Japan</c:v>
                </c:pt>
                <c:pt idx="12">
                  <c:v>Mexico</c:v>
                </c:pt>
                <c:pt idx="13">
                  <c:v>Morocco</c:v>
                </c:pt>
                <c:pt idx="14">
                  <c:v>Netherlands</c:v>
                </c:pt>
                <c:pt idx="15">
                  <c:v>NewZealand</c:v>
                </c:pt>
                <c:pt idx="16">
                  <c:v>Scotland</c:v>
                </c:pt>
                <c:pt idx="17">
                  <c:v>SouthAfrica</c:v>
                </c:pt>
                <c:pt idx="18">
                  <c:v>SouthKorea</c:v>
                </c:pt>
                <c:pt idx="19">
                  <c:v>Spain</c:v>
                </c:pt>
                <c:pt idx="20">
                  <c:v>Thailand</c:v>
                </c:pt>
                <c:pt idx="21">
                  <c:v>UK</c:v>
                </c:pt>
                <c:pt idx="22">
                  <c:v>UnitedArabEmirates</c:v>
                </c:pt>
                <c:pt idx="23">
                  <c:v>USA</c:v>
                </c:pt>
              </c:strCache>
            </c:strRef>
          </c:cat>
          <c:val>
            <c:numRef>
              <c:f>'Pivot Table'!$M$17:$M$41</c:f>
              <c:numCache>
                <c:formatCode>General</c:formatCode>
                <c:ptCount val="24"/>
                <c:pt idx="0">
                  <c:v>9450</c:v>
                </c:pt>
                <c:pt idx="1">
                  <c:v>3900</c:v>
                </c:pt>
                <c:pt idx="2">
                  <c:v>500</c:v>
                </c:pt>
                <c:pt idx="3">
                  <c:v>3225</c:v>
                </c:pt>
                <c:pt idx="4">
                  <c:v>100</c:v>
                </c:pt>
                <c:pt idx="5">
                  <c:v>8500</c:v>
                </c:pt>
                <c:pt idx="6">
                  <c:v>700</c:v>
                </c:pt>
                <c:pt idx="7">
                  <c:v>1650</c:v>
                </c:pt>
                <c:pt idx="8">
                  <c:v>1200</c:v>
                </c:pt>
                <c:pt idx="9">
                  <c:v>9700</c:v>
                </c:pt>
                <c:pt idx="10">
                  <c:v>3850</c:v>
                </c:pt>
                <c:pt idx="11">
                  <c:v>6900</c:v>
                </c:pt>
                <c:pt idx="12">
                  <c:v>3200</c:v>
                </c:pt>
                <c:pt idx="13">
                  <c:v>400</c:v>
                </c:pt>
                <c:pt idx="14">
                  <c:v>1050</c:v>
                </c:pt>
                <c:pt idx="15">
                  <c:v>2500</c:v>
                </c:pt>
                <c:pt idx="16">
                  <c:v>150</c:v>
                </c:pt>
                <c:pt idx="17">
                  <c:v>4000</c:v>
                </c:pt>
                <c:pt idx="18">
                  <c:v>170</c:v>
                </c:pt>
                <c:pt idx="19">
                  <c:v>2500</c:v>
                </c:pt>
                <c:pt idx="20">
                  <c:v>5050</c:v>
                </c:pt>
                <c:pt idx="21">
                  <c:v>2300</c:v>
                </c:pt>
                <c:pt idx="22">
                  <c:v>1900</c:v>
                </c:pt>
                <c:pt idx="23">
                  <c:v>6500</c:v>
                </c:pt>
              </c:numCache>
            </c:numRef>
          </c:val>
          <c:smooth val="0"/>
          <c:extLst>
            <c:ext xmlns:c16="http://schemas.microsoft.com/office/drawing/2014/chart" uri="{C3380CC4-5D6E-409C-BE32-E72D297353CC}">
              <c16:uniqueId val="{00000000-601A-4019-8D89-44D99F178A34}"/>
            </c:ext>
          </c:extLst>
        </c:ser>
        <c:ser>
          <c:idx val="1"/>
          <c:order val="1"/>
          <c:tx>
            <c:strRef>
              <c:f>'Pivot Table'!$N$16</c:f>
              <c:strCache>
                <c:ptCount val="1"/>
                <c:pt idx="0">
                  <c:v>Sum of Accommodation cost</c:v>
                </c:pt>
              </c:strCache>
            </c:strRef>
          </c:tx>
          <c:spPr>
            <a:ln w="28575" cap="rnd">
              <a:solidFill>
                <a:schemeClr val="accent2"/>
              </a:solidFill>
              <a:round/>
            </a:ln>
            <a:effectLst/>
          </c:spPr>
          <c:marker>
            <c:symbol val="none"/>
          </c:marker>
          <c:cat>
            <c:strRef>
              <c:f>'Pivot Table'!$L$17:$L$41</c:f>
              <c:strCache>
                <c:ptCount val="24"/>
                <c:pt idx="0">
                  <c:v>Australia</c:v>
                </c:pt>
                <c:pt idx="1">
                  <c:v>Brazil</c:v>
                </c:pt>
                <c:pt idx="2">
                  <c:v>Cambodia</c:v>
                </c:pt>
                <c:pt idx="3">
                  <c:v>Canada</c:v>
                </c:pt>
                <c:pt idx="4">
                  <c:v>Egypt</c:v>
                </c:pt>
                <c:pt idx="5">
                  <c:v>France</c:v>
                </c:pt>
                <c:pt idx="6">
                  <c:v>Germany</c:v>
                </c:pt>
                <c:pt idx="7">
                  <c:v>Greece</c:v>
                </c:pt>
                <c:pt idx="8">
                  <c:v>Hawaii</c:v>
                </c:pt>
                <c:pt idx="9">
                  <c:v>Indonesia</c:v>
                </c:pt>
                <c:pt idx="10">
                  <c:v>Italy</c:v>
                </c:pt>
                <c:pt idx="11">
                  <c:v>Japan</c:v>
                </c:pt>
                <c:pt idx="12">
                  <c:v>Mexico</c:v>
                </c:pt>
                <c:pt idx="13">
                  <c:v>Morocco</c:v>
                </c:pt>
                <c:pt idx="14">
                  <c:v>Netherlands</c:v>
                </c:pt>
                <c:pt idx="15">
                  <c:v>NewZealand</c:v>
                </c:pt>
                <c:pt idx="16">
                  <c:v>Scotland</c:v>
                </c:pt>
                <c:pt idx="17">
                  <c:v>SouthAfrica</c:v>
                </c:pt>
                <c:pt idx="18">
                  <c:v>SouthKorea</c:v>
                </c:pt>
                <c:pt idx="19">
                  <c:v>Spain</c:v>
                </c:pt>
                <c:pt idx="20">
                  <c:v>Thailand</c:v>
                </c:pt>
                <c:pt idx="21">
                  <c:v>UK</c:v>
                </c:pt>
                <c:pt idx="22">
                  <c:v>UnitedArabEmirates</c:v>
                </c:pt>
                <c:pt idx="23">
                  <c:v>USA</c:v>
                </c:pt>
              </c:strCache>
            </c:strRef>
          </c:cat>
          <c:val>
            <c:numRef>
              <c:f>'Pivot Table'!$N$17:$N$41</c:f>
              <c:numCache>
                <c:formatCode>General</c:formatCode>
                <c:ptCount val="24"/>
                <c:pt idx="0">
                  <c:v>15700</c:v>
                </c:pt>
                <c:pt idx="1">
                  <c:v>6450</c:v>
                </c:pt>
                <c:pt idx="2">
                  <c:v>200</c:v>
                </c:pt>
                <c:pt idx="3">
                  <c:v>5750</c:v>
                </c:pt>
                <c:pt idx="4">
                  <c:v>700</c:v>
                </c:pt>
                <c:pt idx="5">
                  <c:v>19400</c:v>
                </c:pt>
                <c:pt idx="6">
                  <c:v>1400</c:v>
                </c:pt>
                <c:pt idx="7">
                  <c:v>2100</c:v>
                </c:pt>
                <c:pt idx="8">
                  <c:v>3000</c:v>
                </c:pt>
                <c:pt idx="9">
                  <c:v>14300</c:v>
                </c:pt>
                <c:pt idx="10">
                  <c:v>9980</c:v>
                </c:pt>
                <c:pt idx="11">
                  <c:v>16000</c:v>
                </c:pt>
                <c:pt idx="12">
                  <c:v>5800</c:v>
                </c:pt>
                <c:pt idx="13">
                  <c:v>600</c:v>
                </c:pt>
                <c:pt idx="14">
                  <c:v>2900</c:v>
                </c:pt>
                <c:pt idx="15">
                  <c:v>7000</c:v>
                </c:pt>
                <c:pt idx="16">
                  <c:v>900</c:v>
                </c:pt>
                <c:pt idx="17">
                  <c:v>4700</c:v>
                </c:pt>
                <c:pt idx="18">
                  <c:v>1300</c:v>
                </c:pt>
                <c:pt idx="19">
                  <c:v>5600</c:v>
                </c:pt>
                <c:pt idx="20">
                  <c:v>8400</c:v>
                </c:pt>
                <c:pt idx="21">
                  <c:v>6100</c:v>
                </c:pt>
                <c:pt idx="22">
                  <c:v>5000</c:v>
                </c:pt>
                <c:pt idx="23">
                  <c:v>20400</c:v>
                </c:pt>
              </c:numCache>
            </c:numRef>
          </c:val>
          <c:smooth val="0"/>
          <c:extLst>
            <c:ext xmlns:c16="http://schemas.microsoft.com/office/drawing/2014/chart" uri="{C3380CC4-5D6E-409C-BE32-E72D297353CC}">
              <c16:uniqueId val="{00000001-601A-4019-8D89-44D99F178A34}"/>
            </c:ext>
          </c:extLst>
        </c:ser>
        <c:dLbls>
          <c:showLegendKey val="0"/>
          <c:showVal val="0"/>
          <c:showCatName val="0"/>
          <c:showSerName val="0"/>
          <c:showPercent val="0"/>
          <c:showBubbleSize val="0"/>
        </c:dLbls>
        <c:smooth val="0"/>
        <c:axId val="842969631"/>
        <c:axId val="640302671"/>
      </c:lineChart>
      <c:catAx>
        <c:axId val="842969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640302671"/>
        <c:crosses val="autoZero"/>
        <c:auto val="1"/>
        <c:lblAlgn val="ctr"/>
        <c:lblOffset val="100"/>
        <c:noMultiLvlLbl val="0"/>
      </c:catAx>
      <c:valAx>
        <c:axId val="6403026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84296963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[Travel details report 2024.xlsm]Pivot Table!PivotTable9</c:name>
    <c:fmtId val="9"/>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IN"/>
              <a:t>Cost Distribution by Gender and Continent</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Table'!$B$44:$B$45</c:f>
              <c:strCache>
                <c:ptCount val="1"/>
                <c:pt idx="0">
                  <c:v>Female</c:v>
                </c:pt>
              </c:strCache>
            </c:strRef>
          </c:tx>
          <c:spPr>
            <a:solidFill>
              <a:schemeClr val="accent1"/>
            </a:solidFill>
            <a:ln>
              <a:noFill/>
            </a:ln>
            <a:effectLst/>
          </c:spPr>
          <c:invertIfNegative val="0"/>
          <c:cat>
            <c:strRef>
              <c:f>'Pivot Table'!$A$46:$A$52</c:f>
              <c:strCache>
                <c:ptCount val="6"/>
                <c:pt idx="0">
                  <c:v>Africa</c:v>
                </c:pt>
                <c:pt idx="1">
                  <c:v>Asia</c:v>
                </c:pt>
                <c:pt idx="2">
                  <c:v>Australia</c:v>
                </c:pt>
                <c:pt idx="3">
                  <c:v>Europe</c:v>
                </c:pt>
                <c:pt idx="4">
                  <c:v>North America</c:v>
                </c:pt>
                <c:pt idx="5">
                  <c:v>South America</c:v>
                </c:pt>
              </c:strCache>
            </c:strRef>
          </c:cat>
          <c:val>
            <c:numRef>
              <c:f>'Pivot Table'!$B$46:$B$52</c:f>
              <c:numCache>
                <c:formatCode>General</c:formatCode>
                <c:ptCount val="6"/>
                <c:pt idx="0">
                  <c:v>4800</c:v>
                </c:pt>
                <c:pt idx="1">
                  <c:v>41750</c:v>
                </c:pt>
                <c:pt idx="2">
                  <c:v>14300</c:v>
                </c:pt>
                <c:pt idx="3">
                  <c:v>29480</c:v>
                </c:pt>
                <c:pt idx="4">
                  <c:v>29225</c:v>
                </c:pt>
                <c:pt idx="5">
                  <c:v>2100</c:v>
                </c:pt>
              </c:numCache>
            </c:numRef>
          </c:val>
          <c:extLst>
            <c:ext xmlns:c16="http://schemas.microsoft.com/office/drawing/2014/chart" uri="{C3380CC4-5D6E-409C-BE32-E72D297353CC}">
              <c16:uniqueId val="{00000000-D9AC-44E8-92CD-0379695374D7}"/>
            </c:ext>
          </c:extLst>
        </c:ser>
        <c:ser>
          <c:idx val="1"/>
          <c:order val="1"/>
          <c:tx>
            <c:strRef>
              <c:f>'Pivot Table'!$C$44:$C$45</c:f>
              <c:strCache>
                <c:ptCount val="1"/>
                <c:pt idx="0">
                  <c:v>Male</c:v>
                </c:pt>
              </c:strCache>
            </c:strRef>
          </c:tx>
          <c:spPr>
            <a:solidFill>
              <a:schemeClr val="accent2"/>
            </a:solidFill>
            <a:ln>
              <a:noFill/>
            </a:ln>
            <a:effectLst/>
          </c:spPr>
          <c:invertIfNegative val="0"/>
          <c:cat>
            <c:strRef>
              <c:f>'Pivot Table'!$A$46:$A$52</c:f>
              <c:strCache>
                <c:ptCount val="6"/>
                <c:pt idx="0">
                  <c:v>Africa</c:v>
                </c:pt>
                <c:pt idx="1">
                  <c:v>Asia</c:v>
                </c:pt>
                <c:pt idx="2">
                  <c:v>Australia</c:v>
                </c:pt>
                <c:pt idx="3">
                  <c:v>Europe</c:v>
                </c:pt>
                <c:pt idx="4">
                  <c:v>North America</c:v>
                </c:pt>
                <c:pt idx="5">
                  <c:v>South America</c:v>
                </c:pt>
              </c:strCache>
            </c:strRef>
          </c:cat>
          <c:val>
            <c:numRef>
              <c:f>'Pivot Table'!$C$46:$C$52</c:f>
              <c:numCache>
                <c:formatCode>General</c:formatCode>
                <c:ptCount val="6"/>
                <c:pt idx="0">
                  <c:v>5700</c:v>
                </c:pt>
                <c:pt idx="1">
                  <c:v>27670</c:v>
                </c:pt>
                <c:pt idx="2">
                  <c:v>20350</c:v>
                </c:pt>
                <c:pt idx="3">
                  <c:v>39600</c:v>
                </c:pt>
                <c:pt idx="4">
                  <c:v>19850</c:v>
                </c:pt>
                <c:pt idx="5">
                  <c:v>8250</c:v>
                </c:pt>
              </c:numCache>
            </c:numRef>
          </c:val>
          <c:extLst>
            <c:ext xmlns:c16="http://schemas.microsoft.com/office/drawing/2014/chart" uri="{C3380CC4-5D6E-409C-BE32-E72D297353CC}">
              <c16:uniqueId val="{00000001-D9AC-44E8-92CD-0379695374D7}"/>
            </c:ext>
          </c:extLst>
        </c:ser>
        <c:dLbls>
          <c:showLegendKey val="0"/>
          <c:showVal val="0"/>
          <c:showCatName val="0"/>
          <c:showSerName val="0"/>
          <c:showPercent val="0"/>
          <c:showBubbleSize val="0"/>
        </c:dLbls>
        <c:gapWidth val="219"/>
        <c:overlap val="-27"/>
        <c:axId val="643149775"/>
        <c:axId val="640285311"/>
      </c:barChart>
      <c:catAx>
        <c:axId val="643149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640285311"/>
        <c:crosses val="autoZero"/>
        <c:auto val="1"/>
        <c:lblAlgn val="ctr"/>
        <c:lblOffset val="100"/>
        <c:noMultiLvlLbl val="0"/>
      </c:catAx>
      <c:valAx>
        <c:axId val="640285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6431497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3.png"/><Relationship Id="rId4" Type="http://schemas.openxmlformats.org/officeDocument/2006/relationships/chart" Target="../charts/chart4.xml"/><Relationship Id="rId9"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9</xdr:col>
      <xdr:colOff>254671</xdr:colOff>
      <xdr:row>26</xdr:row>
      <xdr:rowOff>156564</xdr:rowOff>
    </xdr:from>
    <xdr:to>
      <xdr:col>17</xdr:col>
      <xdr:colOff>554006</xdr:colOff>
      <xdr:row>49</xdr:row>
      <xdr:rowOff>97194</xdr:rowOff>
    </xdr:to>
    <xdr:graphicFrame macro="">
      <xdr:nvGraphicFramePr>
        <xdr:cNvPr id="8" name="Chart 7">
          <a:extLst>
            <a:ext uri="{FF2B5EF4-FFF2-40B4-BE49-F238E27FC236}">
              <a16:creationId xmlns:a16="http://schemas.microsoft.com/office/drawing/2014/main" id="{0E33B575-46D2-4892-9372-86A7C87070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348376</xdr:colOff>
      <xdr:row>26</xdr:row>
      <xdr:rowOff>135129</xdr:rowOff>
    </xdr:from>
    <xdr:to>
      <xdr:col>35</xdr:col>
      <xdr:colOff>631760</xdr:colOff>
      <xdr:row>49</xdr:row>
      <xdr:rowOff>106913</xdr:rowOff>
    </xdr:to>
    <xdr:graphicFrame macro="">
      <xdr:nvGraphicFramePr>
        <xdr:cNvPr id="10" name="Chart 9">
          <a:extLst>
            <a:ext uri="{FF2B5EF4-FFF2-40B4-BE49-F238E27FC236}">
              <a16:creationId xmlns:a16="http://schemas.microsoft.com/office/drawing/2014/main" id="{BD7E2D02-E9AC-43D2-8EEC-597846E9F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233265</xdr:colOff>
      <xdr:row>26</xdr:row>
      <xdr:rowOff>159009</xdr:rowOff>
    </xdr:from>
    <xdr:to>
      <xdr:col>8</xdr:col>
      <xdr:colOff>641480</xdr:colOff>
      <xdr:row>49</xdr:row>
      <xdr:rowOff>77755</xdr:rowOff>
    </xdr:to>
    <xdr:graphicFrame macro="">
      <xdr:nvGraphicFramePr>
        <xdr:cNvPr id="12" name="Chart 11">
          <a:extLst>
            <a:ext uri="{FF2B5EF4-FFF2-40B4-BE49-F238E27FC236}">
              <a16:creationId xmlns:a16="http://schemas.microsoft.com/office/drawing/2014/main" id="{77516B15-5EDC-4F96-B057-2D67B59F26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428536</xdr:colOff>
      <xdr:row>7</xdr:row>
      <xdr:rowOff>132517</xdr:rowOff>
    </xdr:from>
    <xdr:to>
      <xdr:col>17</xdr:col>
      <xdr:colOff>284244</xdr:colOff>
      <xdr:row>24</xdr:row>
      <xdr:rowOff>97199</xdr:rowOff>
    </xdr:to>
    <mc:AlternateContent xmlns:mc="http://schemas.openxmlformats.org/markup-compatibility/2006" xmlns:a14="http://schemas.microsoft.com/office/drawing/2010/main">
      <mc:Choice Requires="a14">
        <xdr:graphicFrame macro="">
          <xdr:nvGraphicFramePr>
            <xdr:cNvPr id="15" name="Accommodation Type 1">
              <a:extLst>
                <a:ext uri="{FF2B5EF4-FFF2-40B4-BE49-F238E27FC236}">
                  <a16:creationId xmlns:a16="http://schemas.microsoft.com/office/drawing/2014/main" id="{DE96F878-C2A3-D91C-1F77-04F72A993E9E}"/>
                </a:ext>
              </a:extLst>
            </xdr:cNvPr>
            <xdr:cNvGraphicFramePr/>
          </xdr:nvGraphicFramePr>
          <xdr:xfrm>
            <a:off x="0" y="0"/>
            <a:ext cx="0" cy="0"/>
          </xdr:xfrm>
          <a:graphic>
            <a:graphicData uri="http://schemas.microsoft.com/office/drawing/2010/slicer">
              <sle:slicer xmlns:sle="http://schemas.microsoft.com/office/drawing/2010/slicer" name="Accommodation Type 1"/>
            </a:graphicData>
          </a:graphic>
        </xdr:graphicFrame>
      </mc:Choice>
      <mc:Fallback xmlns="">
        <xdr:sp macro="" textlink="">
          <xdr:nvSpPr>
            <xdr:cNvPr id="0" name=""/>
            <xdr:cNvSpPr>
              <a:spLocks noTextEdit="1"/>
            </xdr:cNvSpPr>
          </xdr:nvSpPr>
          <xdr:spPr>
            <a:xfrm>
              <a:off x="8869740" y="1402517"/>
              <a:ext cx="2453000" cy="30489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615549</xdr:colOff>
      <xdr:row>7</xdr:row>
      <xdr:rowOff>108746</xdr:rowOff>
    </xdr:from>
    <xdr:to>
      <xdr:col>25</xdr:col>
      <xdr:colOff>466530</xdr:colOff>
      <xdr:row>24</xdr:row>
      <xdr:rowOff>106918</xdr:rowOff>
    </xdr:to>
    <mc:AlternateContent xmlns:mc="http://schemas.openxmlformats.org/markup-compatibility/2006" xmlns:a14="http://schemas.microsoft.com/office/drawing/2010/main">
      <mc:Choice Requires="a14">
        <xdr:graphicFrame macro="">
          <xdr:nvGraphicFramePr>
            <xdr:cNvPr id="16" name="Transportation Type">
              <a:extLst>
                <a:ext uri="{FF2B5EF4-FFF2-40B4-BE49-F238E27FC236}">
                  <a16:creationId xmlns:a16="http://schemas.microsoft.com/office/drawing/2014/main" id="{E1305104-913E-3D4C-1277-745176855D5D}"/>
                </a:ext>
              </a:extLst>
            </xdr:cNvPr>
            <xdr:cNvGraphicFramePr/>
          </xdr:nvGraphicFramePr>
          <xdr:xfrm>
            <a:off x="0" y="0"/>
            <a:ext cx="0" cy="0"/>
          </xdr:xfrm>
          <a:graphic>
            <a:graphicData uri="http://schemas.microsoft.com/office/drawing/2010/slicer">
              <sle:slicer xmlns:sle="http://schemas.microsoft.com/office/drawing/2010/slicer" name="Transportation Type"/>
            </a:graphicData>
          </a:graphic>
        </xdr:graphicFrame>
      </mc:Choice>
      <mc:Fallback xmlns="">
        <xdr:sp macro="" textlink="">
          <xdr:nvSpPr>
            <xdr:cNvPr id="0" name=""/>
            <xdr:cNvSpPr>
              <a:spLocks noTextEdit="1"/>
            </xdr:cNvSpPr>
          </xdr:nvSpPr>
          <xdr:spPr>
            <a:xfrm>
              <a:off x="14251338" y="1378746"/>
              <a:ext cx="2448274" cy="30824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471027</xdr:colOff>
      <xdr:row>7</xdr:row>
      <xdr:rowOff>143658</xdr:rowOff>
    </xdr:from>
    <xdr:to>
      <xdr:col>21</xdr:col>
      <xdr:colOff>388776</xdr:colOff>
      <xdr:row>24</xdr:row>
      <xdr:rowOff>116638</xdr:rowOff>
    </xdr:to>
    <mc:AlternateContent xmlns:mc="http://schemas.openxmlformats.org/markup-compatibility/2006" xmlns:a14="http://schemas.microsoft.com/office/drawing/2010/main">
      <mc:Choice Requires="a14">
        <xdr:graphicFrame macro="">
          <xdr:nvGraphicFramePr>
            <xdr:cNvPr id="17" name="Continent 1">
              <a:extLst>
                <a:ext uri="{FF2B5EF4-FFF2-40B4-BE49-F238E27FC236}">
                  <a16:creationId xmlns:a16="http://schemas.microsoft.com/office/drawing/2014/main" id="{11DD3ADD-37E8-F186-0678-E37C2D9A220E}"/>
                </a:ext>
              </a:extLst>
            </xdr:cNvPr>
            <xdr:cNvGraphicFramePr/>
          </xdr:nvGraphicFramePr>
          <xdr:xfrm>
            <a:off x="0" y="0"/>
            <a:ext cx="0" cy="0"/>
          </xdr:xfrm>
          <a:graphic>
            <a:graphicData uri="http://schemas.microsoft.com/office/drawing/2010/slicer">
              <sle:slicer xmlns:sle="http://schemas.microsoft.com/office/drawing/2010/slicer" name="Continent 1"/>
            </a:graphicData>
          </a:graphic>
        </xdr:graphicFrame>
      </mc:Choice>
      <mc:Fallback xmlns="">
        <xdr:sp macro="" textlink="">
          <xdr:nvSpPr>
            <xdr:cNvPr id="0" name=""/>
            <xdr:cNvSpPr>
              <a:spLocks noTextEdit="1"/>
            </xdr:cNvSpPr>
          </xdr:nvSpPr>
          <xdr:spPr>
            <a:xfrm>
              <a:off x="11509523" y="1413658"/>
              <a:ext cx="2515042" cy="30572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22388</xdr:colOff>
      <xdr:row>7</xdr:row>
      <xdr:rowOff>133842</xdr:rowOff>
    </xdr:from>
    <xdr:to>
      <xdr:col>13</xdr:col>
      <xdr:colOff>170061</xdr:colOff>
      <xdr:row>24</xdr:row>
      <xdr:rowOff>124900</xdr:rowOff>
    </xdr:to>
    <xdr:graphicFrame macro="">
      <xdr:nvGraphicFramePr>
        <xdr:cNvPr id="35" name="Chart 34">
          <a:extLst>
            <a:ext uri="{FF2B5EF4-FFF2-40B4-BE49-F238E27FC236}">
              <a16:creationId xmlns:a16="http://schemas.microsoft.com/office/drawing/2014/main" id="{429B391C-02CD-41EA-88D7-3C1026DEF0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252702</xdr:colOff>
      <xdr:row>7</xdr:row>
      <xdr:rowOff>145796</xdr:rowOff>
    </xdr:from>
    <xdr:to>
      <xdr:col>6</xdr:col>
      <xdr:colOff>403325</xdr:colOff>
      <xdr:row>24</xdr:row>
      <xdr:rowOff>173496</xdr:rowOff>
    </xdr:to>
    <xdr:graphicFrame macro="">
      <xdr:nvGraphicFramePr>
        <xdr:cNvPr id="36" name="Chart 35">
          <a:extLst>
            <a:ext uri="{FF2B5EF4-FFF2-40B4-BE49-F238E27FC236}">
              <a16:creationId xmlns:a16="http://schemas.microsoft.com/office/drawing/2014/main" id="{3D9DC9FD-A543-4799-8232-B763D3968B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106913</xdr:colOff>
      <xdr:row>7</xdr:row>
      <xdr:rowOff>116632</xdr:rowOff>
    </xdr:from>
    <xdr:to>
      <xdr:col>36</xdr:col>
      <xdr:colOff>17283</xdr:colOff>
      <xdr:row>24</xdr:row>
      <xdr:rowOff>106913</xdr:rowOff>
    </xdr:to>
    <xdr:graphicFrame macro="">
      <xdr:nvGraphicFramePr>
        <xdr:cNvPr id="2" name="Chart 1">
          <a:extLst>
            <a:ext uri="{FF2B5EF4-FFF2-40B4-BE49-F238E27FC236}">
              <a16:creationId xmlns:a16="http://schemas.microsoft.com/office/drawing/2014/main" id="{CFD83CD8-E8B7-4594-B9CA-2ACE2CE42C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155511</xdr:colOff>
      <xdr:row>27</xdr:row>
      <xdr:rowOff>9720</xdr:rowOff>
    </xdr:from>
    <xdr:to>
      <xdr:col>27</xdr:col>
      <xdr:colOff>106913</xdr:colOff>
      <xdr:row>49</xdr:row>
      <xdr:rowOff>62474</xdr:rowOff>
    </xdr:to>
    <xdr:graphicFrame macro="">
      <xdr:nvGraphicFramePr>
        <xdr:cNvPr id="3" name="Chart 2">
          <a:extLst>
            <a:ext uri="{FF2B5EF4-FFF2-40B4-BE49-F238E27FC236}">
              <a16:creationId xmlns:a16="http://schemas.microsoft.com/office/drawing/2014/main" id="{E6583EC5-1843-4CA1-BA12-0EBCA38384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30</xdr:col>
      <xdr:colOff>143232</xdr:colOff>
      <xdr:row>1</xdr:row>
      <xdr:rowOff>57294</xdr:rowOff>
    </xdr:from>
    <xdr:to>
      <xdr:col>31</xdr:col>
      <xdr:colOff>114586</xdr:colOff>
      <xdr:row>4</xdr:row>
      <xdr:rowOff>133685</xdr:rowOff>
    </xdr:to>
    <xdr:pic macro="[0]!OpenLinkedinLink">
      <xdr:nvPicPr>
        <xdr:cNvPr id="5" name="Picture 4">
          <a:extLst>
            <a:ext uri="{FF2B5EF4-FFF2-40B4-BE49-F238E27FC236}">
              <a16:creationId xmlns:a16="http://schemas.microsoft.com/office/drawing/2014/main" id="{13BD27CC-967F-1485-429D-0BEAAEACDEF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622932" y="238722"/>
          <a:ext cx="620677" cy="620677"/>
        </a:xfrm>
        <a:prstGeom prst="rect">
          <a:avLst/>
        </a:prstGeom>
        <a:ln>
          <a:solidFill>
            <a:schemeClr val="tx1"/>
          </a:solidFill>
        </a:ln>
        <a:effectLst>
          <a:outerShdw blurRad="50800" dist="38100" algn="l" rotWithShape="0">
            <a:prstClr val="black">
              <a:alpha val="40000"/>
            </a:prstClr>
          </a:outerShdw>
        </a:effectLst>
      </xdr:spPr>
    </xdr:pic>
    <xdr:clientData/>
  </xdr:twoCellAnchor>
  <xdr:twoCellAnchor editAs="oneCell">
    <xdr:from>
      <xdr:col>31</xdr:col>
      <xdr:colOff>362856</xdr:colOff>
      <xdr:row>1</xdr:row>
      <xdr:rowOff>38197</xdr:rowOff>
    </xdr:from>
    <xdr:to>
      <xdr:col>32</xdr:col>
      <xdr:colOff>343758</xdr:colOff>
      <xdr:row>4</xdr:row>
      <xdr:rowOff>124136</xdr:rowOff>
    </xdr:to>
    <xdr:pic macro="[0]!OpenGitHubLink">
      <xdr:nvPicPr>
        <xdr:cNvPr id="7" name="Picture 6">
          <a:extLst>
            <a:ext uri="{FF2B5EF4-FFF2-40B4-BE49-F238E27FC236}">
              <a16:creationId xmlns:a16="http://schemas.microsoft.com/office/drawing/2014/main" id="{F5F1E7BE-8F73-B564-9897-9400BA729697}"/>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0491879" y="219625"/>
          <a:ext cx="630225" cy="6302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28</xdr:col>
      <xdr:colOff>544285</xdr:colOff>
      <xdr:row>1</xdr:row>
      <xdr:rowOff>76393</xdr:rowOff>
    </xdr:from>
    <xdr:to>
      <xdr:col>29</xdr:col>
      <xdr:colOff>477444</xdr:colOff>
      <xdr:row>4</xdr:row>
      <xdr:rowOff>114587</xdr:rowOff>
    </xdr:to>
    <xdr:pic macro="[0]!Project_Querry_Link.Project_Querry_Link">
      <xdr:nvPicPr>
        <xdr:cNvPr id="6" name="Picture 5">
          <a:extLst>
            <a:ext uri="{FF2B5EF4-FFF2-40B4-BE49-F238E27FC236}">
              <a16:creationId xmlns:a16="http://schemas.microsoft.com/office/drawing/2014/main" id="{B5FED1AE-86D7-019F-2050-B6DF1CB60FCF}"/>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8725338" y="257821"/>
          <a:ext cx="582481" cy="582480"/>
        </a:xfrm>
        <a:prstGeom prst="rect">
          <a:avLst/>
        </a:prstGeom>
        <a:ln w="38100" cap="sq">
          <a:solidFill>
            <a:srgbClr val="000000"/>
          </a:solidFill>
          <a:prstDash val="solid"/>
          <a:miter lim="800000"/>
        </a:ln>
        <a:effectLst>
          <a:outerShdw blurRad="50800" dist="38100" dir="2700000" algn="tl" rotWithShape="0">
            <a:prstClr val="black">
              <a:alpha val="40000"/>
            </a:prstClr>
          </a:outerShdw>
        </a:effec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refreshedDate="45308.049278240738" createdVersion="8" refreshedVersion="8" minRefreshableVersion="3" recordCount="137" xr:uid="{0A332D46-D44D-496E-87A2-701D128A3F7B}">
  <cacheSource type="worksheet">
    <worksheetSource name="Travel"/>
  </cacheSource>
  <cacheFields count="17">
    <cacheField name="TripID" numFmtId="0">
      <sharedItems containsSemiMixedTypes="0" containsString="0" containsNumber="1" containsInteger="1" minValue="1" maxValue="138"/>
    </cacheField>
    <cacheField name="Destination City" numFmtId="0">
      <sharedItems/>
    </cacheField>
    <cacheField name="Destination Country" numFmtId="0">
      <sharedItems/>
    </cacheField>
    <cacheField name="Continent" numFmtId="0">
      <sharedItems/>
    </cacheField>
    <cacheField name="Start date" numFmtId="14">
      <sharedItems containsSemiMixedTypes="0" containsNonDate="0" containsDate="1" containsString="0" minDate="2021-01-07T00:00:00" maxDate="2025-05-22T00:00:00"/>
    </cacheField>
    <cacheField name="End date" numFmtId="14">
      <sharedItems containsSemiMixedTypes="0" containsNonDate="0" containsDate="1" containsString="0" minDate="2021-06-20T00:00:00" maxDate="2025-08-02T00:00:00"/>
    </cacheField>
    <cacheField name="Duration(days)" numFmtId="0">
      <sharedItems containsSemiMixedTypes="0" containsString="0" containsNumber="1" containsInteger="1" minValue="5" maxValue="14"/>
    </cacheField>
    <cacheField name="Travelername" numFmtId="0">
      <sharedItems/>
    </cacheField>
    <cacheField name="Age" numFmtId="0">
      <sharedItems containsSemiMixedTypes="0" containsString="0" containsNumber="1" containsInteger="1" minValue="20" maxValue="60"/>
    </cacheField>
    <cacheField name="Gender" numFmtId="0">
      <sharedItems/>
    </cacheField>
    <cacheField name="Traveler nationality" numFmtId="0">
      <sharedItems/>
    </cacheField>
    <cacheField name="Accommodation Type" numFmtId="0">
      <sharedItems/>
    </cacheField>
    <cacheField name="Accommodation cost" numFmtId="164">
      <sharedItems containsSemiMixedTypes="0" containsString="0" containsNumber="1" containsInteger="1" minValue="100" maxValue="7000"/>
    </cacheField>
    <cacheField name="Transportation Type" numFmtId="0">
      <sharedItems/>
    </cacheField>
    <cacheField name="Transportation mode" numFmtId="0">
      <sharedItems count="4">
        <s v="Airway"/>
        <s v="Railway"/>
        <s v="Roadway"/>
        <s v="Waterway"/>
      </sharedItems>
    </cacheField>
    <cacheField name="Transportation cost" numFmtId="164">
      <sharedItems containsSemiMixedTypes="0" containsString="0" containsNumber="1" containsInteger="1" minValue="20" maxValue="3000"/>
    </cacheField>
    <cacheField name="Total cost" numFmtId="164">
      <sharedItems containsSemiMixedTypes="0" containsString="0" containsNumber="1" containsInteger="1" minValue="150" maxValue="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refreshedDate="45308.051261689812" createdVersion="8" refreshedVersion="8" minRefreshableVersion="3" recordCount="137" xr:uid="{38D4392C-44AF-4DC7-B7F5-835AAAC8FAC6}">
  <cacheSource type="worksheet">
    <worksheetSource name="Travel"/>
  </cacheSource>
  <cacheFields count="17">
    <cacheField name="TripID" numFmtId="0">
      <sharedItems containsSemiMixedTypes="0" containsString="0" containsNumber="1" containsInteger="1" minValue="1" maxValue="138"/>
    </cacheField>
    <cacheField name="Destination City" numFmtId="0">
      <sharedItems count="29">
        <s v="London"/>
        <s v="Phuket"/>
        <s v="Bali"/>
        <s v="NewYork"/>
        <s v="Tokyo"/>
        <s v="Paris"/>
        <s v="Sydney"/>
        <s v="RiodeJaneiro"/>
        <s v="Amsterdam"/>
        <s v="Dubai"/>
        <s v="Cancun"/>
        <s v="Barcelona"/>
        <s v="Honolulu"/>
        <s v="Berlin"/>
        <s v="Marrakech"/>
        <s v="Edinburgh"/>
        <s v="Rome"/>
        <s v="Bangkok"/>
        <s v="Hawaii"/>
        <s v="Santorini"/>
        <s v="Cairo"/>
        <s v="Vancouver"/>
        <s v="Seoul"/>
        <s v="LosAngeles"/>
        <s v="CapeTown"/>
        <s v="PhnomPenh"/>
        <s v="Athens"/>
        <s v="NewYorkCity"/>
        <s v="Auckland"/>
      </sharedItems>
    </cacheField>
    <cacheField name="Destination Country" numFmtId="0">
      <sharedItems/>
    </cacheField>
    <cacheField name="Continent" numFmtId="0">
      <sharedItems count="6">
        <s v="Europe"/>
        <s v="Asia"/>
        <s v="North America"/>
        <s v="Australia"/>
        <s v="South America"/>
        <s v="Africa"/>
      </sharedItems>
    </cacheField>
    <cacheField name="Start date" numFmtId="14">
      <sharedItems containsSemiMixedTypes="0" containsNonDate="0" containsDate="1" containsString="0" minDate="2021-01-07T00:00:00" maxDate="2025-05-22T00:00:00"/>
    </cacheField>
    <cacheField name="End date" numFmtId="14">
      <sharedItems containsSemiMixedTypes="0" containsNonDate="0" containsDate="1" containsString="0" minDate="2021-06-20T00:00:00" maxDate="2025-08-02T00:00:00"/>
    </cacheField>
    <cacheField name="Duration(days)" numFmtId="0">
      <sharedItems containsSemiMixedTypes="0" containsString="0" containsNumber="1" containsInteger="1" minValue="5" maxValue="14"/>
    </cacheField>
    <cacheField name="Travelername" numFmtId="0">
      <sharedItems/>
    </cacheField>
    <cacheField name="Age" numFmtId="0">
      <sharedItems containsSemiMixedTypes="0" containsString="0" containsNumber="1" containsInteger="1" minValue="20" maxValue="60"/>
    </cacheField>
    <cacheField name="Gender" numFmtId="0">
      <sharedItems count="2">
        <s v="Male"/>
        <s v="Female"/>
      </sharedItems>
    </cacheField>
    <cacheField name="Traveler nationality" numFmtId="0">
      <sharedItems/>
    </cacheField>
    <cacheField name="Accommodation Type" numFmtId="0">
      <sharedItems/>
    </cacheField>
    <cacheField name="Accommodation cost" numFmtId="164">
      <sharedItems containsSemiMixedTypes="0" containsString="0" containsNumber="1" containsInteger="1" minValue="100" maxValue="7000"/>
    </cacheField>
    <cacheField name="Transportation Type" numFmtId="0">
      <sharedItems/>
    </cacheField>
    <cacheField name="Transportation mode" numFmtId="0">
      <sharedItems/>
    </cacheField>
    <cacheField name="Transportation cost" numFmtId="164">
      <sharedItems containsSemiMixedTypes="0" containsString="0" containsNumber="1" containsInteger="1" minValue="20" maxValue="3000"/>
    </cacheField>
    <cacheField name="Total cost" numFmtId="164">
      <sharedItems containsSemiMixedTypes="0" containsString="0" containsNumber="1" containsInteger="1" minValue="150" maxValue="95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refreshedDate="45308.053006481481" createdVersion="8" refreshedVersion="8" minRefreshableVersion="3" recordCount="137" xr:uid="{3482AB64-A4A6-4188-80F5-80506737B4AB}">
  <cacheSource type="worksheet">
    <worksheetSource name="Travel"/>
  </cacheSource>
  <cacheFields count="17">
    <cacheField name="TripID" numFmtId="0">
      <sharedItems containsSemiMixedTypes="0" containsString="0" containsNumber="1" containsInteger="1" minValue="1" maxValue="138"/>
    </cacheField>
    <cacheField name="Destination City" numFmtId="0">
      <sharedItems/>
    </cacheField>
    <cacheField name="Destination Country" numFmtId="0">
      <sharedItems count="24">
        <s v="UK"/>
        <s v="Thailand"/>
        <s v="Indonesia"/>
        <s v="USA"/>
        <s v="Japan"/>
        <s v="France"/>
        <s v="Australia"/>
        <s v="Brazil"/>
        <s v="Netherlands"/>
        <s v="UnitedArabEmirates"/>
        <s v="Mexico"/>
        <s v="Spain"/>
        <s v="Hawaii"/>
        <s v="Germany"/>
        <s v="Morocco"/>
        <s v="Scotland"/>
        <s v="Italy"/>
        <s v="Greece"/>
        <s v="Egypt"/>
        <s v="Canada"/>
        <s v="SouthKorea"/>
        <s v="SouthAfrica"/>
        <s v="Cambodia"/>
        <s v="NewZealand"/>
      </sharedItems>
    </cacheField>
    <cacheField name="Continent" numFmtId="0">
      <sharedItems/>
    </cacheField>
    <cacheField name="Start date" numFmtId="14">
      <sharedItems containsSemiMixedTypes="0" containsNonDate="0" containsDate="1" containsString="0" minDate="2021-01-07T00:00:00" maxDate="2025-05-22T00:00:00"/>
    </cacheField>
    <cacheField name="End date" numFmtId="14">
      <sharedItems containsSemiMixedTypes="0" containsNonDate="0" containsDate="1" containsString="0" minDate="2021-06-20T00:00:00" maxDate="2025-08-02T00:00:00"/>
    </cacheField>
    <cacheField name="Duration(days)" numFmtId="0">
      <sharedItems containsSemiMixedTypes="0" containsString="0" containsNumber="1" containsInteger="1" minValue="5" maxValue="14"/>
    </cacheField>
    <cacheField name="Travelername" numFmtId="0">
      <sharedItems/>
    </cacheField>
    <cacheField name="Age" numFmtId="0">
      <sharedItems containsSemiMixedTypes="0" containsString="0" containsNumber="1" containsInteger="1" minValue="20" maxValue="60"/>
    </cacheField>
    <cacheField name="Gender" numFmtId="0">
      <sharedItems count="2">
        <s v="Male"/>
        <s v="Female"/>
      </sharedItems>
    </cacheField>
    <cacheField name="Traveler nationality" numFmtId="0">
      <sharedItems/>
    </cacheField>
    <cacheField name="Accommodation Type" numFmtId="0">
      <sharedItems count="8">
        <s v="Hotel"/>
        <s v="Resort"/>
        <s v="Villa"/>
        <s v="Airbnb"/>
        <s v="Hostel"/>
        <s v="Riad"/>
        <s v="Vacationrental"/>
        <s v="Guesthouse"/>
      </sharedItems>
    </cacheField>
    <cacheField name="Accommodation cost" numFmtId="164">
      <sharedItems containsSemiMixedTypes="0" containsString="0" containsNumber="1" containsInteger="1" minValue="100" maxValue="7000"/>
    </cacheField>
    <cacheField name="Transportation Type" numFmtId="0">
      <sharedItems count="7">
        <s v="Flight"/>
        <s v="Train"/>
        <s v="Bus"/>
        <s v="Carrental"/>
        <s v="Subway"/>
        <s v="Car"/>
        <s v="Ferry"/>
      </sharedItems>
    </cacheField>
    <cacheField name="Transportation mode" numFmtId="0">
      <sharedItems/>
    </cacheField>
    <cacheField name="Transportation cost" numFmtId="164">
      <sharedItems containsSemiMixedTypes="0" containsString="0" containsNumber="1" containsInteger="1" minValue="20" maxValue="3000"/>
    </cacheField>
    <cacheField name="Total cost" numFmtId="164">
      <sharedItems containsSemiMixedTypes="0" containsString="0" containsNumber="1" containsInteger="1" minValue="150" maxValue="950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refreshedDate="45321.703336226848" createdVersion="8" refreshedVersion="8" minRefreshableVersion="3" recordCount="137" xr:uid="{5CDE6D58-6DDD-46FA-9E41-E948B60CC48A}">
  <cacheSource type="worksheet">
    <worksheetSource name="Travel"/>
  </cacheSource>
  <cacheFields count="23">
    <cacheField name="TripID" numFmtId="0">
      <sharedItems containsSemiMixedTypes="0" containsString="0" containsNumber="1" containsInteger="1" minValue="1" maxValue="138"/>
    </cacheField>
    <cacheField name="Destination City" numFmtId="0">
      <sharedItems count="29">
        <s v="London"/>
        <s v="Phuket"/>
        <s v="Bali"/>
        <s v="NewYork"/>
        <s v="Tokyo"/>
        <s v="Paris"/>
        <s v="Sydney"/>
        <s v="RiodeJaneiro"/>
        <s v="Amsterdam"/>
        <s v="Dubai"/>
        <s v="Cancun"/>
        <s v="Barcelona"/>
        <s v="Honolulu"/>
        <s v="Berlin"/>
        <s v="Marrakech"/>
        <s v="Edinburgh"/>
        <s v="Rome"/>
        <s v="Bangkok"/>
        <s v="Hawaii"/>
        <s v="Santorini"/>
        <s v="Cairo"/>
        <s v="Vancouver"/>
        <s v="Seoul"/>
        <s v="LosAngeles"/>
        <s v="CapeTown"/>
        <s v="PhnomPenh"/>
        <s v="Athens"/>
        <s v="NewYorkCity"/>
        <s v="Auckland"/>
      </sharedItems>
    </cacheField>
    <cacheField name="Destination Country" numFmtId="0">
      <sharedItems/>
    </cacheField>
    <cacheField name="Continent" numFmtId="0">
      <sharedItems count="6">
        <s v="Europe"/>
        <s v="Asia"/>
        <s v="North America"/>
        <s v="Australia"/>
        <s v="South America"/>
        <s v="Africa"/>
      </sharedItems>
    </cacheField>
    <cacheField name="Start date" numFmtId="14">
      <sharedItems containsSemiMixedTypes="0" containsNonDate="0" containsDate="1" containsString="0" minDate="2021-01-07T00:00:00" maxDate="2025-05-22T00:00:00" count="111">
        <d v="2023-01-05T00:00:00"/>
        <d v="2023-06-15T00:00:00"/>
        <d v="2023-01-07T00:00:00"/>
        <d v="2023-08-15T00:00:00"/>
        <d v="2023-10-09T00:00:00"/>
        <d v="2023-05-10T00:00:00"/>
        <d v="2023-11-20T00:00:00"/>
        <d v="2024-05-01T00:00:00"/>
        <d v="2024-02-14T00:00:00"/>
        <d v="2024-10-03T00:00:00"/>
        <d v="2024-01-04T00:00:00"/>
        <d v="2024-05-15T00:00:00"/>
        <d v="2024-10-06T00:00:00"/>
        <d v="2024-01-07T00:00:00"/>
        <d v="2024-08-20T00:00:00"/>
        <d v="2024-05-09T00:00:00"/>
        <d v="2023-01-09T00:00:00"/>
        <d v="2023-07-22T00:00:00"/>
        <d v="2023-05-12T00:00:00"/>
        <d v="2023-01-11T00:00:00"/>
        <d v="2023-09-15T00:00:00"/>
        <d v="2023-12-22T00:00:00"/>
        <d v="2023-01-08T00:00:00"/>
        <d v="2023-10-20T00:00:00"/>
        <d v="2022-10-05T00:00:00"/>
        <d v="2022-06-15T00:00:00"/>
        <d v="2022-02-07T00:00:00"/>
        <d v="2022-08-20T00:00:00"/>
        <d v="2022-05-09T00:00:00"/>
        <d v="2022-12-10T00:00:00"/>
        <d v="2022-08-11T00:00:00"/>
        <d v="2023-05-01T00:00:00"/>
        <d v="2023-02-14T00:00:00"/>
        <d v="2023-03-23T00:00:00"/>
        <d v="2023-04-19T00:00:00"/>
        <d v="2022-12-06T00:00:00"/>
        <d v="2023-02-01T00:00:00"/>
        <d v="2022-10-12T00:00:00"/>
        <d v="2022-11-20T00:00:00"/>
        <d v="2023-05-03T00:00:00"/>
        <d v="2023-08-18T00:00:00"/>
        <d v="2022-09-15T00:00:00"/>
        <d v="2022-10-07T00:00:00"/>
        <d v="2023-06-20T00:00:00"/>
        <d v="2023-10-10T00:00:00"/>
        <d v="2023-05-11T00:00:00"/>
        <d v="2023-12-24T00:00:00"/>
        <d v="2024-01-15T00:00:00"/>
        <d v="2024-01-02T00:00:00"/>
        <d v="2024-03-15T00:00:00"/>
        <d v="2024-05-04T00:00:00"/>
        <d v="2024-10-05T00:00:00"/>
        <d v="2024-06-20T00:00:00"/>
        <d v="2024-07-15T00:00:00"/>
        <d v="2022-12-07T00:00:00"/>
        <d v="2022-03-09T00:00:00"/>
        <d v="2023-07-01T00:00:00"/>
        <d v="2023-06-23T00:00:00"/>
        <d v="2024-06-05T00:00:00"/>
        <d v="2024-07-20T00:00:00"/>
        <d v="2024-08-09T00:00:00"/>
        <d v="2025-02-14T00:00:00"/>
        <d v="2025-05-21T00:00:00"/>
        <d v="2022-05-08T00:00:00"/>
        <d v="2023-01-01T00:00:00"/>
        <d v="2023-04-15T00:00:00"/>
        <d v="2023-07-06T00:00:00"/>
        <d v="2023-12-11T00:00:00"/>
        <d v="2024-05-02T00:00:00"/>
        <d v="2025-01-01T00:00:00"/>
        <d v="2025-04-15T00:00:00"/>
        <d v="2021-06-15T00:00:00"/>
        <d v="2021-01-07T00:00:00"/>
        <d v="2021-10-08T00:00:00"/>
        <d v="2021-01-09T00:00:00"/>
        <d v="2021-10-15T00:00:00"/>
        <d v="2021-11-20T00:00:00"/>
        <d v="2022-01-01T00:00:00"/>
        <d v="2022-02-14T00:00:00"/>
        <d v="2022-10-03T00:00:00"/>
        <d v="2022-04-15T00:00:00"/>
        <d v="2022-01-05T00:00:00"/>
        <d v="2022-01-09T00:00:00"/>
        <d v="2022-11-23T00:00:00"/>
        <d v="2023-08-05T00:00:00"/>
        <d v="2023-08-20T00:00:00"/>
        <d v="2024-06-01T00:00:00"/>
        <d v="2024-03-04T00:00:00"/>
        <d v="2024-07-22T00:00:00"/>
        <d v="2024-10-10T00:00:00"/>
        <d v="2022-05-15T00:00:00"/>
        <d v="2022-06-20T00:00:00"/>
        <d v="2022-12-08T00:00:00"/>
        <d v="2022-01-07T00:00:00"/>
        <d v="2022-10-06T00:00:00"/>
        <d v="2022-07-15T00:00:00"/>
        <d v="2022-08-25T00:00:00"/>
        <d v="2022-10-09T00:00:00"/>
        <d v="2022-05-02T00:00:00"/>
        <d v="2022-03-15T00:00:00"/>
        <d v="2022-07-20T00:00:00"/>
        <d v="2022-08-08T00:00:00"/>
        <d v="2022-09-20T00:00:00"/>
        <d v="2022-05-10T00:00:00"/>
        <d v="2022-11-11T00:00:00"/>
        <d v="2022-12-24T00:00:00"/>
        <d v="2023-10-02T00:00:00"/>
        <d v="2023-05-15T00:00:00"/>
        <d v="2023-01-06T00:00:00"/>
        <d v="2023-07-15T00:00:00"/>
        <d v="2023-01-10T00:00:00"/>
      </sharedItems>
      <fieldGroup par="19"/>
    </cacheField>
    <cacheField name="End date" numFmtId="14">
      <sharedItems containsSemiMixedTypes="0" containsNonDate="0" containsDate="1" containsString="0" minDate="2021-06-20T00:00:00" maxDate="2025-08-02T00:00:00" count="125">
        <d v="2023-08-05T00:00:00"/>
        <d v="2023-06-20T00:00:00"/>
        <d v="2023-08-07T00:00:00"/>
        <d v="2023-08-29T00:00:00"/>
        <d v="2023-09-17T00:00:00"/>
        <d v="2023-10-10T00:00:00"/>
        <d v="2023-11-30T00:00:00"/>
        <d v="2024-12-01T00:00:00"/>
        <d v="2024-02-21T00:00:00"/>
        <d v="2024-03-17T00:00:00"/>
        <d v="2024-08-04T00:00:00"/>
        <d v="2024-05-22T00:00:00"/>
        <d v="2024-06-18T00:00:00"/>
        <d v="2024-10-07T00:00:00"/>
        <d v="2024-08-27T00:00:00"/>
        <d v="2024-12-09T00:00:00"/>
        <d v="2023-10-09T00:00:00"/>
        <d v="2023-08-25T00:00:00"/>
        <d v="2023-07-28T00:00:00"/>
        <d v="2023-10-15T00:00:00"/>
        <d v="2023-11-25T00:00:00"/>
        <d v="2023-12-12T00:00:00"/>
        <d v="2023-08-11T00:00:00"/>
        <d v="2023-09-23T00:00:00"/>
        <d v="2023-12-28T00:00:00"/>
        <d v="2023-10-08T00:00:00"/>
        <d v="2023-10-28T00:00:00"/>
        <d v="2022-05-18T00:00:00"/>
        <d v="2022-06-22T00:00:00"/>
        <d v="2022-11-07T00:00:00"/>
        <d v="2022-02-09T00:00:00"/>
        <d v="2022-09-14T00:00:00"/>
        <d v="2022-10-20T00:00:00"/>
        <d v="2022-11-15T00:00:00"/>
        <d v="2023-01-15T00:00:00"/>
        <d v="2023-02-20T00:00:00"/>
        <d v="2023-03-31T00:00:00"/>
        <d v="2023-04-26T00:00:00"/>
        <d v="2022-06-19T00:00:00"/>
        <d v="2023-09-01T00:00:00"/>
        <d v="2022-12-18T00:00:00"/>
        <d v="2022-11-27T00:00:00"/>
        <d v="2023-12-03T00:00:00"/>
        <d v="2022-09-22T00:00:00"/>
        <d v="2023-07-05T00:00:00"/>
        <d v="2022-07-17T00:00:00"/>
        <d v="2023-06-28T00:00:00"/>
        <d v="2023-08-22T00:00:00"/>
        <d v="2023-10-20T00:00:00"/>
        <d v="2023-12-11T00:00:00"/>
        <d v="2023-12-31T00:00:00"/>
        <d v="2024-01-24T00:00:00"/>
        <d v="2024-09-02T00:00:00"/>
        <d v="2024-03-23T00:00:00"/>
        <d v="2024-04-13T00:00:00"/>
        <d v="2024-05-18T00:00:00"/>
        <d v="2024-06-27T00:00:00"/>
        <d v="2024-07-23T00:00:00"/>
        <d v="2022-07-18T00:00:00"/>
        <d v="2022-10-09T00:00:00"/>
        <d v="2023-01-16T00:00:00"/>
        <d v="2023-06-29T00:00:00"/>
        <d v="2024-08-02T00:00:00"/>
        <d v="2024-12-05T00:00:00"/>
        <d v="2024-07-26T00:00:00"/>
        <d v="2024-09-16T00:00:00"/>
        <d v="2025-02-20T00:00:00"/>
        <d v="2025-05-29T00:00:00"/>
        <d v="2022-12-08T00:00:00"/>
        <d v="2023-04-22T00:00:00"/>
        <d v="2023-06-14T00:00:00"/>
        <d v="2023-11-19T00:00:00"/>
        <d v="2024-12-02T00:00:00"/>
        <d v="2025-08-01T00:00:00"/>
        <d v="2025-04-22T00:00:00"/>
        <d v="2021-06-20T00:00:00"/>
        <d v="2021-10-07T00:00:00"/>
        <d v="2021-08-20T00:00:00"/>
        <d v="2021-10-09T00:00:00"/>
        <d v="2021-10-20T00:00:00"/>
        <d v="2021-11-30T00:00:00"/>
        <d v="2022-08-01T00:00:00"/>
        <d v="2022-02-20T00:00:00"/>
        <d v="2022-03-20T00:00:00"/>
        <d v="2022-04-25T00:00:00"/>
        <d v="2022-10-05T00:00:00"/>
        <d v="2022-06-20T00:00:00"/>
        <d v="2022-02-12T00:00:00"/>
        <d v="2023-02-19T00:00:00"/>
        <d v="2023-05-14T00:00:00"/>
        <d v="2023-08-27T00:00:00"/>
        <d v="2023-11-20T00:00:00"/>
        <d v="2024-01-14T00:00:00"/>
        <d v="2024-10-04T00:00:00"/>
        <d v="2024-07-28T00:00:00"/>
        <d v="2024-10-17T00:00:00"/>
        <d v="2022-05-20T00:00:00"/>
        <d v="2022-06-25T00:00:00"/>
        <d v="2022-08-20T00:00:00"/>
        <d v="2022-10-07T00:00:00"/>
        <d v="2022-06-15T00:00:00"/>
        <d v="2022-12-09T00:00:00"/>
        <d v="2022-08-05T00:00:00"/>
        <d v="2022-07-22T00:00:00"/>
        <d v="2022-08-30T00:00:00"/>
        <d v="2022-09-15T00:00:00"/>
        <d v="2022-02-14T00:00:00"/>
        <d v="2022-03-22T00:00:00"/>
        <d v="2022-12-05T00:00:00"/>
        <d v="2022-06-17T00:00:00"/>
        <d v="2022-07-30T00:00:00"/>
        <d v="2022-08-16T00:00:00"/>
        <d v="2022-09-30T00:00:00"/>
        <d v="2022-10-13T00:00:00"/>
        <d v="2022-11-21T00:00:00"/>
        <d v="2023-01-01T00:00:00"/>
        <d v="2024-02-18T00:00:00"/>
        <d v="2023-05-22T00:00:00"/>
        <d v="2023-10-06T00:00:00"/>
        <d v="2023-06-21T00:00:00"/>
        <d v="2023-07-22T00:00:00"/>
        <d v="2023-08-21T00:00:00"/>
        <d v="2023-08-09T00:00:00"/>
        <d v="2023-09-22T00:00:00"/>
        <d v="2023-08-10T00:00:00"/>
      </sharedItems>
      <fieldGroup par="22"/>
    </cacheField>
    <cacheField name="Duration(days)" numFmtId="0">
      <sharedItems containsSemiMixedTypes="0" containsString="0" containsNumber="1" containsInteger="1" minValue="5" maxValue="14" count="9">
        <n v="7"/>
        <n v="5"/>
        <n v="14"/>
        <n v="10"/>
        <n v="8"/>
        <n v="9"/>
        <n v="6"/>
        <n v="13"/>
        <n v="11"/>
      </sharedItems>
    </cacheField>
    <cacheField name="Travelername" numFmtId="0">
      <sharedItems/>
    </cacheField>
    <cacheField name="Age" numFmtId="0">
      <sharedItems containsSemiMixedTypes="0" containsString="0" containsNumber="1" containsInteger="1" minValue="20" maxValue="60"/>
    </cacheField>
    <cacheField name="Gender" numFmtId="0">
      <sharedItems/>
    </cacheField>
    <cacheField name="Traveler nationality" numFmtId="0">
      <sharedItems/>
    </cacheField>
    <cacheField name="Accommodation Type" numFmtId="0">
      <sharedItems count="8">
        <s v="Hotel"/>
        <s v="Resort"/>
        <s v="Villa"/>
        <s v="Airbnb"/>
        <s v="Hostel"/>
        <s v="Riad"/>
        <s v="Vacationrental"/>
        <s v="Guesthouse"/>
      </sharedItems>
    </cacheField>
    <cacheField name="Accommodation cost" numFmtId="164">
      <sharedItems containsSemiMixedTypes="0" containsString="0" containsNumber="1" containsInteger="1" minValue="100" maxValue="7000"/>
    </cacheField>
    <cacheField name="Transportation Type" numFmtId="0">
      <sharedItems count="7">
        <s v="Flight"/>
        <s v="Train"/>
        <s v="Bus"/>
        <s v="Carrental"/>
        <s v="Subway"/>
        <s v="Car"/>
        <s v="Ferry"/>
      </sharedItems>
    </cacheField>
    <cacheField name="Transportation mode" numFmtId="0">
      <sharedItems count="4">
        <s v="Airway"/>
        <s v="Railway"/>
        <s v="Roadway"/>
        <s v="Waterway"/>
      </sharedItems>
    </cacheField>
    <cacheField name="Transportation cost" numFmtId="164">
      <sharedItems containsSemiMixedTypes="0" containsString="0" containsNumber="1" containsInteger="1" minValue="20" maxValue="3000"/>
    </cacheField>
    <cacheField name="Total cost" numFmtId="164">
      <sharedItems containsSemiMixedTypes="0" containsString="0" containsNumber="1" containsInteger="1" minValue="150" maxValue="9500"/>
    </cacheField>
    <cacheField name="Months (Start date)" numFmtId="0" databaseField="0">
      <fieldGroup base="4">
        <rangePr groupBy="months" startDate="2021-01-07T00:00:00" endDate="2025-05-22T00:00:00"/>
        <groupItems count="14">
          <s v="&lt;07-01-2021"/>
          <s v="Jan"/>
          <s v="Feb"/>
          <s v="Mar"/>
          <s v="Apr"/>
          <s v="May"/>
          <s v="Jun"/>
          <s v="Jul"/>
          <s v="Aug"/>
          <s v="Sep"/>
          <s v="Oct"/>
          <s v="Nov"/>
          <s v="Dec"/>
          <s v="&gt;22-05-2025"/>
        </groupItems>
      </fieldGroup>
    </cacheField>
    <cacheField name="Quarters (Start date)" numFmtId="0" databaseField="0">
      <fieldGroup base="4">
        <rangePr groupBy="quarters" startDate="2021-01-07T00:00:00" endDate="2025-05-22T00:00:00"/>
        <groupItems count="6">
          <s v="&lt;07-01-2021"/>
          <s v="Qtr1"/>
          <s v="Qtr2"/>
          <s v="Qtr3"/>
          <s v="Qtr4"/>
          <s v="&gt;22-05-2025"/>
        </groupItems>
      </fieldGroup>
    </cacheField>
    <cacheField name="Years (Start date)" numFmtId="0" databaseField="0">
      <fieldGroup base="4">
        <rangePr groupBy="years" startDate="2021-01-07T00:00:00" endDate="2025-05-22T00:00:00"/>
        <groupItems count="7">
          <s v="&lt;07-01-2021"/>
          <s v="2021"/>
          <s v="2022"/>
          <s v="2023"/>
          <s v="2024"/>
          <s v="2025"/>
          <s v="&gt;22-05-2025"/>
        </groupItems>
      </fieldGroup>
    </cacheField>
    <cacheField name="Months (End date)" numFmtId="0" databaseField="0">
      <fieldGroup base="5">
        <rangePr groupBy="months" startDate="2021-06-20T00:00:00" endDate="2025-08-02T00:00:00"/>
        <groupItems count="14">
          <s v="&lt;20-06-2021"/>
          <s v="Jan"/>
          <s v="Feb"/>
          <s v="Mar"/>
          <s v="Apr"/>
          <s v="May"/>
          <s v="Jun"/>
          <s v="Jul"/>
          <s v="Aug"/>
          <s v="Sep"/>
          <s v="Oct"/>
          <s v="Nov"/>
          <s v="Dec"/>
          <s v="&gt;02-08-2025"/>
        </groupItems>
      </fieldGroup>
    </cacheField>
    <cacheField name="Quarters (End date)" numFmtId="0" databaseField="0">
      <fieldGroup base="5">
        <rangePr groupBy="quarters" startDate="2021-06-20T00:00:00" endDate="2025-08-02T00:00:00"/>
        <groupItems count="6">
          <s v="&lt;20-06-2021"/>
          <s v="Qtr1"/>
          <s v="Qtr2"/>
          <s v="Qtr3"/>
          <s v="Qtr4"/>
          <s v="&gt;02-08-2025"/>
        </groupItems>
      </fieldGroup>
    </cacheField>
    <cacheField name="Years (End date)" numFmtId="0" databaseField="0">
      <fieldGroup base="5">
        <rangePr groupBy="years" startDate="2021-06-20T00:00:00" endDate="2025-08-02T00:00:00"/>
        <groupItems count="7">
          <s v="&lt;20-06-2021"/>
          <s v="2021"/>
          <s v="2022"/>
          <s v="2023"/>
          <s v="2024"/>
          <s v="2025"/>
          <s v="&gt;02-08-2025"/>
        </groupItems>
      </fieldGroup>
    </cacheField>
  </cacheFields>
  <extLst>
    <ext xmlns:x14="http://schemas.microsoft.com/office/spreadsheetml/2009/9/main" uri="{725AE2AE-9491-48be-B2B4-4EB974FC3084}">
      <x14:pivotCacheDefinition pivotCacheId="18062052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7">
  <r>
    <n v="1"/>
    <s v="London"/>
    <s v="UK"/>
    <s v="Europe"/>
    <d v="2023-01-05T00:00:00"/>
    <d v="2023-08-05T00:00:00"/>
    <n v="7"/>
    <s v="JohnSmith"/>
    <n v="35"/>
    <s v="Male"/>
    <s v="American"/>
    <s v="Hotel"/>
    <n v="1200"/>
    <s v="Flight"/>
    <x v="0"/>
    <n v="600"/>
    <n v="1800"/>
  </r>
  <r>
    <n v="2"/>
    <s v="Phuket"/>
    <s v="Thailand"/>
    <s v="Asia"/>
    <d v="2023-06-15T00:00:00"/>
    <d v="2023-06-20T00:00:00"/>
    <n v="5"/>
    <s v="JaneDoe"/>
    <n v="28"/>
    <s v="Female"/>
    <s v="Canadian"/>
    <s v="Resort"/>
    <n v="800"/>
    <s v="Flight"/>
    <x v="0"/>
    <n v="500"/>
    <n v="1300"/>
  </r>
  <r>
    <n v="3"/>
    <s v="Bali"/>
    <s v="Indonesia"/>
    <s v="Asia"/>
    <d v="2023-01-07T00:00:00"/>
    <d v="2023-08-07T00:00:00"/>
    <n v="7"/>
    <s v="DavidLee"/>
    <n v="45"/>
    <s v="Male"/>
    <s v="Korean"/>
    <s v="Villa"/>
    <n v="1000"/>
    <s v="Flight"/>
    <x v="0"/>
    <n v="700"/>
    <n v="1700"/>
  </r>
  <r>
    <n v="4"/>
    <s v="NewYork"/>
    <s v="USA"/>
    <s v="North America"/>
    <d v="2023-08-15T00:00:00"/>
    <d v="2023-08-29T00:00:00"/>
    <n v="14"/>
    <s v="SarahJohnson"/>
    <n v="29"/>
    <s v="Female"/>
    <s v="British"/>
    <s v="Hotel"/>
    <n v="2000"/>
    <s v="Flight"/>
    <x v="0"/>
    <n v="1000"/>
    <n v="3000"/>
  </r>
  <r>
    <n v="5"/>
    <s v="Tokyo"/>
    <s v="Japan"/>
    <s v="Asia"/>
    <d v="2023-10-09T00:00:00"/>
    <d v="2023-09-17T00:00:00"/>
    <n v="7"/>
    <s v="KimNguyen"/>
    <n v="26"/>
    <s v="Female"/>
    <s v="Vietnamese"/>
    <s v="Airbnb"/>
    <n v="700"/>
    <s v="Train"/>
    <x v="1"/>
    <n v="200"/>
    <n v="900"/>
  </r>
  <r>
    <n v="6"/>
    <s v="Paris"/>
    <s v="France"/>
    <s v="Europe"/>
    <d v="2023-05-10T00:00:00"/>
    <d v="2023-10-10T00:00:00"/>
    <n v="5"/>
    <s v="MichaelBrown"/>
    <n v="42"/>
    <s v="Male"/>
    <s v="American"/>
    <s v="Hotel"/>
    <n v="1500"/>
    <s v="Flight"/>
    <x v="0"/>
    <n v="800"/>
    <n v="2300"/>
  </r>
  <r>
    <n v="7"/>
    <s v="Sydney"/>
    <s v="Australia"/>
    <s v="Australia"/>
    <d v="2023-11-20T00:00:00"/>
    <d v="2023-11-30T00:00:00"/>
    <n v="10"/>
    <s v="EmilyDavis"/>
    <n v="33"/>
    <s v="Female"/>
    <s v="Australian"/>
    <s v="Hostel"/>
    <n v="500"/>
    <s v="Flight"/>
    <x v="0"/>
    <n v="1200"/>
    <n v="1700"/>
  </r>
  <r>
    <n v="8"/>
    <s v="RiodeJaneiro"/>
    <s v="Brazil"/>
    <s v="South America"/>
    <d v="2024-05-01T00:00:00"/>
    <d v="2024-12-01T00:00:00"/>
    <n v="7"/>
    <s v="LucasSantos"/>
    <n v="25"/>
    <s v="Male"/>
    <s v="Brazilian"/>
    <s v="Airbnb"/>
    <n v="900"/>
    <s v="Flight"/>
    <x v="0"/>
    <n v="600"/>
    <n v="1500"/>
  </r>
  <r>
    <n v="9"/>
    <s v="Amsterdam"/>
    <s v="Netherlands"/>
    <s v="Europe"/>
    <d v="2024-02-14T00:00:00"/>
    <d v="2024-02-21T00:00:00"/>
    <n v="7"/>
    <s v="LauraJanssen"/>
    <n v="31"/>
    <s v="Female"/>
    <s v="Dutch"/>
    <s v="Hotel"/>
    <n v="1200"/>
    <s v="Train"/>
    <x v="1"/>
    <n v="200"/>
    <n v="1400"/>
  </r>
  <r>
    <n v="10"/>
    <s v="Dubai"/>
    <s v="UnitedArabEmirates"/>
    <s v="Asia"/>
    <d v="2024-10-03T00:00:00"/>
    <d v="2024-03-17T00:00:00"/>
    <n v="7"/>
    <s v="MohammedAli"/>
    <n v="39"/>
    <s v="Male"/>
    <s v="Emirati"/>
    <s v="Resort"/>
    <n v="2500"/>
    <s v="Flight"/>
    <x v="0"/>
    <n v="800"/>
    <n v="3300"/>
  </r>
  <r>
    <n v="11"/>
    <s v="Cancun"/>
    <s v="Mexico"/>
    <s v="North America"/>
    <d v="2024-01-04T00:00:00"/>
    <d v="2024-08-04T00:00:00"/>
    <n v="7"/>
    <s v="AnaHernandez"/>
    <n v="27"/>
    <s v="Female"/>
    <s v="Mexican"/>
    <s v="Hotel"/>
    <n v="1000"/>
    <s v="Flight"/>
    <x v="0"/>
    <n v="500"/>
    <n v="1500"/>
  </r>
  <r>
    <n v="12"/>
    <s v="Barcelona"/>
    <s v="Spain"/>
    <s v="Europe"/>
    <d v="2024-05-15T00:00:00"/>
    <d v="2024-05-22T00:00:00"/>
    <n v="7"/>
    <s v="CarlosGarcia"/>
    <n v="36"/>
    <s v="Male"/>
    <s v="Spanish"/>
    <s v="Airbnb"/>
    <n v="800"/>
    <s v="Train"/>
    <x v="1"/>
    <n v="100"/>
    <n v="900"/>
  </r>
  <r>
    <n v="13"/>
    <s v="Honolulu"/>
    <s v="Hawaii"/>
    <s v="North America"/>
    <d v="2024-10-06T00:00:00"/>
    <d v="2024-06-18T00:00:00"/>
    <n v="8"/>
    <s v="LilyWong"/>
    <n v="29"/>
    <s v="Female"/>
    <s v="Chinese"/>
    <s v="Resort"/>
    <n v="3000"/>
    <s v="Flight"/>
    <x v="0"/>
    <n v="1200"/>
    <n v="4200"/>
  </r>
  <r>
    <n v="14"/>
    <s v="Berlin"/>
    <s v="Germany"/>
    <s v="Europe"/>
    <d v="2024-01-07T00:00:00"/>
    <d v="2024-10-07T00:00:00"/>
    <n v="9"/>
    <s v="HansMueller"/>
    <n v="48"/>
    <s v="Male"/>
    <s v="German"/>
    <s v="Hotel"/>
    <n v="1400"/>
    <s v="Flight"/>
    <x v="0"/>
    <n v="700"/>
    <n v="2100"/>
  </r>
  <r>
    <n v="15"/>
    <s v="Marrakech"/>
    <s v="Morocco"/>
    <s v="Africa"/>
    <d v="2024-08-20T00:00:00"/>
    <d v="2024-08-27T00:00:00"/>
    <n v="7"/>
    <s v="FatimaKhouri"/>
    <n v="26"/>
    <s v="Female"/>
    <s v="Moroccan"/>
    <s v="Riad"/>
    <n v="600"/>
    <s v="Flight"/>
    <x v="0"/>
    <n v="400"/>
    <n v="1000"/>
  </r>
  <r>
    <n v="16"/>
    <s v="Edinburgh"/>
    <s v="Scotland"/>
    <s v="Europe"/>
    <d v="2024-05-09T00:00:00"/>
    <d v="2024-12-09T00:00:00"/>
    <n v="7"/>
    <s v="JamesMacKenzie"/>
    <n v="32"/>
    <s v="Male"/>
    <s v="Scottish"/>
    <s v="Hotel"/>
    <n v="900"/>
    <s v="Train"/>
    <x v="1"/>
    <n v="150"/>
    <n v="1050"/>
  </r>
  <r>
    <n v="17"/>
    <s v="Paris"/>
    <s v="France"/>
    <s v="Europe"/>
    <d v="2023-01-09T00:00:00"/>
    <d v="2023-10-09T00:00:00"/>
    <n v="9"/>
    <s v="SarahJohnson"/>
    <n v="30"/>
    <s v="Female"/>
    <s v="American"/>
    <s v="Hotel"/>
    <n v="900"/>
    <s v="Flight"/>
    <x v="0"/>
    <n v="400"/>
    <n v="1300"/>
  </r>
  <r>
    <n v="18"/>
    <s v="Bali"/>
    <s v="Indonesia"/>
    <s v="Asia"/>
    <d v="2023-08-15T00:00:00"/>
    <d v="2023-08-25T00:00:00"/>
    <n v="10"/>
    <s v="MichaelChang"/>
    <n v="28"/>
    <s v="Male"/>
    <s v="Chinese"/>
    <s v="Resort"/>
    <n v="1500"/>
    <s v="Flight"/>
    <x v="0"/>
    <n v="700"/>
    <n v="2200"/>
  </r>
  <r>
    <n v="19"/>
    <s v="London"/>
    <s v="UK"/>
    <s v="Europe"/>
    <d v="2023-07-22T00:00:00"/>
    <d v="2023-07-28T00:00:00"/>
    <n v="6"/>
    <s v="OliviaRodriguez"/>
    <n v="35"/>
    <s v="Female"/>
    <s v="British"/>
    <s v="Hotel"/>
    <n v="1200"/>
    <s v="Train"/>
    <x v="1"/>
    <n v="150"/>
    <n v="1350"/>
  </r>
  <r>
    <n v="20"/>
    <s v="Tokyo"/>
    <s v="Japan"/>
    <s v="Asia"/>
    <d v="2023-05-10T00:00:00"/>
    <d v="2023-10-15T00:00:00"/>
    <n v="10"/>
    <s v="KenjiNakamura"/>
    <n v="45"/>
    <s v="Male"/>
    <s v="Japanese"/>
    <s v="Hotel"/>
    <n v="1200"/>
    <s v="Flight"/>
    <x v="0"/>
    <n v="800"/>
    <n v="2000"/>
  </r>
  <r>
    <n v="21"/>
    <s v="NewYork"/>
    <s v="USA"/>
    <s v="North America"/>
    <d v="2023-11-20T00:00:00"/>
    <d v="2023-11-25T00:00:00"/>
    <n v="5"/>
    <s v="EmilyLee"/>
    <n v="27"/>
    <s v="Female"/>
    <s v="American"/>
    <s v="Airbnb"/>
    <n v="600"/>
    <s v="Bus"/>
    <x v="2"/>
    <n v="100"/>
    <n v="700"/>
  </r>
  <r>
    <n v="22"/>
    <s v="Sydney"/>
    <s v="Australia"/>
    <s v="Australia"/>
    <d v="2023-05-12T00:00:00"/>
    <d v="2023-12-12T00:00:00"/>
    <n v="7"/>
    <s v="JamesWilson"/>
    <n v="32"/>
    <s v="Male"/>
    <s v="Australian"/>
    <s v="Hotel"/>
    <n v="1000"/>
    <s v="Flight"/>
    <x v="0"/>
    <n v="600"/>
    <n v="1600"/>
  </r>
  <r>
    <n v="23"/>
    <s v="Rome"/>
    <s v="Italy"/>
    <s v="Europe"/>
    <d v="2023-01-11T00:00:00"/>
    <d v="2023-08-11T00:00:00"/>
    <n v="7"/>
    <s v="SofiaRusso"/>
    <n v="29"/>
    <s v="Female"/>
    <s v="Italian"/>
    <s v="Airbnb"/>
    <n v="700"/>
    <s v="Train"/>
    <x v="1"/>
    <n v="80"/>
    <n v="780"/>
  </r>
  <r>
    <n v="24"/>
    <s v="Bangkok"/>
    <s v="Thailand"/>
    <s v="Asia"/>
    <d v="2023-09-15T00:00:00"/>
    <d v="2023-09-23T00:00:00"/>
    <n v="8"/>
    <s v="RajPatel"/>
    <n v="40"/>
    <s v="Male"/>
    <s v="Indian"/>
    <s v="Hostel"/>
    <n v="400"/>
    <s v="Flight"/>
    <x v="0"/>
    <n v="500"/>
    <n v="900"/>
  </r>
  <r>
    <n v="25"/>
    <s v="Paris"/>
    <s v="France"/>
    <s v="Europe"/>
    <d v="2023-12-22T00:00:00"/>
    <d v="2023-12-28T00:00:00"/>
    <n v="6"/>
    <s v="LilyNguyen"/>
    <n v="24"/>
    <s v="Female"/>
    <s v="Vietnamese"/>
    <s v="Hotel"/>
    <n v="1400"/>
    <s v="Train"/>
    <x v="1"/>
    <n v="100"/>
    <n v="1500"/>
  </r>
  <r>
    <n v="26"/>
    <s v="Hawaii"/>
    <s v="USA"/>
    <s v="North America"/>
    <d v="2023-01-08T00:00:00"/>
    <d v="2023-10-08T00:00:00"/>
    <n v="9"/>
    <s v="DavidKim"/>
    <n v="34"/>
    <s v="Male"/>
    <s v="Korean"/>
    <s v="Resort"/>
    <n v="2000"/>
    <s v="Flight"/>
    <x v="0"/>
    <n v="800"/>
    <n v="2800"/>
  </r>
  <r>
    <n v="27"/>
    <s v="Barcelona"/>
    <s v="Spain"/>
    <s v="Europe"/>
    <d v="2023-10-20T00:00:00"/>
    <d v="2023-10-28T00:00:00"/>
    <n v="8"/>
    <s v="MariaGarcia"/>
    <n v="31"/>
    <s v="Female"/>
    <s v="Spanish"/>
    <s v="Hotel"/>
    <n v="1100"/>
    <s v="Train"/>
    <x v="1"/>
    <n v="150"/>
    <n v="1250"/>
  </r>
  <r>
    <n v="28"/>
    <s v="Tokyo"/>
    <s v="Japan"/>
    <s v="Asia"/>
    <d v="2022-10-05T00:00:00"/>
    <d v="2022-05-18T00:00:00"/>
    <n v="8"/>
    <s v="AliceSmith"/>
    <n v="30"/>
    <s v="Female"/>
    <s v="American"/>
    <s v="Hotel"/>
    <n v="800"/>
    <s v="Flight"/>
    <x v="0"/>
    <n v="500"/>
    <n v="1300"/>
  </r>
  <r>
    <n v="29"/>
    <s v="Phuket"/>
    <s v="Thailand"/>
    <s v="Asia"/>
    <d v="2022-06-15T00:00:00"/>
    <d v="2022-06-22T00:00:00"/>
    <n v="7"/>
    <s v="BobJohnson"/>
    <n v="45"/>
    <s v="Male"/>
    <s v="Canadian"/>
    <s v="Hostel"/>
    <n v="200"/>
    <s v="Train"/>
    <x v="1"/>
    <n v="150"/>
    <n v="350"/>
  </r>
  <r>
    <n v="30"/>
    <s v="Paris"/>
    <s v="France"/>
    <s v="Europe"/>
    <d v="2022-02-07T00:00:00"/>
    <d v="2022-11-07T00:00:00"/>
    <n v="9"/>
    <s v="CharlieLee"/>
    <n v="25"/>
    <s v="Male"/>
    <s v="Korean"/>
    <s v="Airbnb"/>
    <n v="600"/>
    <s v="Carrental"/>
    <x v="2"/>
    <n v="300"/>
    <n v="900"/>
  </r>
  <r>
    <n v="31"/>
    <s v="Sydney"/>
    <s v="Australia"/>
    <s v="Australia"/>
    <d v="2022-08-20T00:00:00"/>
    <d v="2022-02-09T00:00:00"/>
    <n v="13"/>
    <s v="EmmaDavis"/>
    <n v="28"/>
    <s v="Female"/>
    <s v="British"/>
    <s v="Hotel"/>
    <n v="1000"/>
    <s v="Carrental"/>
    <x v="2"/>
    <n v="500"/>
    <n v="1500"/>
  </r>
  <r>
    <n v="32"/>
    <s v="RiodeJaneiro"/>
    <s v="Brazil"/>
    <s v="South America"/>
    <d v="2022-05-09T00:00:00"/>
    <d v="2022-09-14T00:00:00"/>
    <n v="9"/>
    <s v="OliviaMartin"/>
    <n v="33"/>
    <s v="Female"/>
    <s v="Australian"/>
    <s v="Hostel"/>
    <n v="150"/>
    <s v="Bus"/>
    <x v="2"/>
    <n v="50"/>
    <n v="200"/>
  </r>
  <r>
    <n v="33"/>
    <s v="Santorini"/>
    <s v="Greece"/>
    <s v="Europe"/>
    <d v="2022-12-10T00:00:00"/>
    <d v="2022-10-20T00:00:00"/>
    <n v="8"/>
    <s v="HarryWilson"/>
    <n v="20"/>
    <s v="Male"/>
    <s v="American"/>
    <s v="Airbnb"/>
    <n v="400"/>
    <s v="Flight"/>
    <x v="0"/>
    <n v="600"/>
    <n v="1000"/>
  </r>
  <r>
    <n v="34"/>
    <s v="Cairo"/>
    <s v="Egypt"/>
    <s v="Africa"/>
    <d v="2022-08-11T00:00:00"/>
    <d v="2022-11-15T00:00:00"/>
    <n v="7"/>
    <s v="SophiaLee"/>
    <n v="37"/>
    <s v="Female"/>
    <s v="Canadian"/>
    <s v="Hotel"/>
    <n v="700"/>
    <s v="Train"/>
    <x v="1"/>
    <n v="100"/>
    <n v="800"/>
  </r>
  <r>
    <n v="35"/>
    <s v="Cancun"/>
    <s v="Mexico"/>
    <s v="North America"/>
    <d v="2023-05-01T00:00:00"/>
    <d v="2023-01-15T00:00:00"/>
    <n v="10"/>
    <s v="JamesBrown"/>
    <n v="42"/>
    <s v="Male"/>
    <s v="British"/>
    <s v="Airbnb"/>
    <n v="500"/>
    <s v="Flight"/>
    <x v="0"/>
    <n v="800"/>
    <n v="1300"/>
  </r>
  <r>
    <n v="36"/>
    <s v="Rome"/>
    <s v="Italy"/>
    <s v="Europe"/>
    <d v="2023-02-14T00:00:00"/>
    <d v="2023-02-20T00:00:00"/>
    <n v="6"/>
    <s v="MiaJohnson"/>
    <n v="31"/>
    <s v="Female"/>
    <s v="American"/>
    <s v="Hostel"/>
    <n v="180"/>
    <s v="Train"/>
    <x v="1"/>
    <n v="120"/>
    <n v="300"/>
  </r>
  <r>
    <n v="37"/>
    <s v="Barcelona"/>
    <s v="Spain"/>
    <s v="Europe"/>
    <d v="2023-03-23T00:00:00"/>
    <d v="2023-03-31T00:00:00"/>
    <n v="8"/>
    <s v="WilliamDavis"/>
    <n v="27"/>
    <s v="Male"/>
    <s v="Korean"/>
    <s v="Hotel"/>
    <n v="900"/>
    <s v="Carrental"/>
    <x v="2"/>
    <n v="400"/>
    <n v="1300"/>
  </r>
  <r>
    <n v="38"/>
    <s v="Vancouver"/>
    <s v="Canada"/>
    <s v="North America"/>
    <d v="2023-04-19T00:00:00"/>
    <d v="2023-04-26T00:00:00"/>
    <n v="7"/>
    <s v="AmeliaBrown"/>
    <n v="38"/>
    <s v="Female"/>
    <s v="Australian"/>
    <s v="Airbnb"/>
    <n v="350"/>
    <s v="Bus"/>
    <x v="2"/>
    <n v="75"/>
    <n v="425"/>
  </r>
  <r>
    <n v="39"/>
    <s v="Paris"/>
    <s v="France"/>
    <s v="Europe"/>
    <d v="2022-12-06T00:00:00"/>
    <d v="2022-06-19T00:00:00"/>
    <n v="7"/>
    <s v="MiaJohnson"/>
    <n v="25"/>
    <s v="Female"/>
    <s v="American"/>
    <s v="Hotel"/>
    <n v="1400"/>
    <s v="Flight"/>
    <x v="0"/>
    <n v="600"/>
    <n v="2000"/>
  </r>
  <r>
    <n v="40"/>
    <s v="Sydney"/>
    <s v="Australia"/>
    <s v="Australia"/>
    <d v="2023-02-01T00:00:00"/>
    <d v="2023-09-01T00:00:00"/>
    <n v="7"/>
    <s v="AdamLee"/>
    <n v="33"/>
    <s v="Male"/>
    <s v="Canadian"/>
    <s v="Airbnb"/>
    <n v="800"/>
    <s v="Train"/>
    <x v="1"/>
    <n v="150"/>
    <n v="950"/>
  </r>
  <r>
    <n v="41"/>
    <s v="Tokyo"/>
    <s v="Japan"/>
    <s v="Asia"/>
    <d v="2022-10-12T00:00:00"/>
    <d v="2022-12-18T00:00:00"/>
    <n v="8"/>
    <s v="SarahWong"/>
    <n v="28"/>
    <s v="Female"/>
    <s v="Chinese"/>
    <s v="Hostel"/>
    <n v="500"/>
    <s v="Flight"/>
    <x v="0"/>
    <n v="900"/>
    <n v="1400"/>
  </r>
  <r>
    <n v="42"/>
    <s v="Cancun"/>
    <s v="Mexico"/>
    <s v="North America"/>
    <d v="2023-01-07T00:00:00"/>
    <d v="2023-08-07T00:00:00"/>
    <n v="7"/>
    <s v="JohnSmith"/>
    <n v="45"/>
    <s v="Male"/>
    <s v="American"/>
    <s v="Resort"/>
    <n v="2200"/>
    <s v="Flight"/>
    <x v="0"/>
    <n v="800"/>
    <n v="3000"/>
  </r>
  <r>
    <n v="43"/>
    <s v="RiodeJaneiro"/>
    <s v="Brazil"/>
    <s v="South America"/>
    <d v="2022-11-20T00:00:00"/>
    <d v="2022-11-27T00:00:00"/>
    <n v="7"/>
    <s v="MariaSilva"/>
    <n v="30"/>
    <s v="Female"/>
    <s v="Brazilian"/>
    <s v="Hotel"/>
    <n v="1200"/>
    <s v="Flight"/>
    <x v="0"/>
    <n v="700"/>
    <n v="1900"/>
  </r>
  <r>
    <n v="44"/>
    <s v="London"/>
    <s v="UK"/>
    <s v="Europe"/>
    <d v="2023-05-03T00:00:00"/>
    <d v="2023-12-03T00:00:00"/>
    <n v="7"/>
    <s v="PeterBrown"/>
    <n v="55"/>
    <s v="Male"/>
    <s v="British"/>
    <s v="Airbnb"/>
    <n v="900"/>
    <s v="Train"/>
    <x v="1"/>
    <n v="100"/>
    <n v="1000"/>
  </r>
  <r>
    <n v="45"/>
    <s v="Barcelona"/>
    <s v="Spain"/>
    <s v="Europe"/>
    <d v="2023-08-18T00:00:00"/>
    <d v="2023-08-25T00:00:00"/>
    <n v="7"/>
    <s v="EmmaGarcia"/>
    <n v="27"/>
    <s v="Female"/>
    <s v="Spanish"/>
    <s v="Hostel"/>
    <n v="600"/>
    <s v="Flight"/>
    <x v="0"/>
    <n v="600"/>
    <n v="1200"/>
  </r>
  <r>
    <n v="46"/>
    <s v="NewYork"/>
    <s v="USA"/>
    <s v="North America"/>
    <d v="2022-09-15T00:00:00"/>
    <d v="2022-09-22T00:00:00"/>
    <n v="7"/>
    <s v="MichaelDavis"/>
    <n v="41"/>
    <s v="Male"/>
    <s v="American"/>
    <s v="Hotel"/>
    <n v="1500"/>
    <s v="Flight"/>
    <x v="0"/>
    <n v="500"/>
    <n v="2000"/>
  </r>
  <r>
    <n v="47"/>
    <s v="Bangkok"/>
    <s v="Thailand"/>
    <s v="Asia"/>
    <d v="2023-01-05T00:00:00"/>
    <d v="2023-07-05T00:00:00"/>
    <n v="6"/>
    <s v="NinaPatel"/>
    <n v="29"/>
    <s v="Female"/>
    <s v="Indian"/>
    <s v="Airbnb"/>
    <n v="500"/>
    <s v="Bus"/>
    <x v="2"/>
    <n v="50"/>
    <n v="550"/>
  </r>
  <r>
    <n v="48"/>
    <s v="Vancouver"/>
    <s v="Canada"/>
    <s v="North America"/>
    <d v="2022-10-07T00:00:00"/>
    <d v="2022-07-17T00:00:00"/>
    <n v="7"/>
    <s v="KevinKim"/>
    <n v="24"/>
    <s v="Male"/>
    <s v="Korean"/>
    <s v="Hostel"/>
    <n v="400"/>
    <s v="Train"/>
    <x v="1"/>
    <n v="150"/>
    <n v="550"/>
  </r>
  <r>
    <n v="49"/>
    <s v="Amsterdam"/>
    <s v="Netherlands"/>
    <s v="Europe"/>
    <d v="2023-06-20T00:00:00"/>
    <d v="2023-06-28T00:00:00"/>
    <n v="8"/>
    <s v="LauravandenBerg"/>
    <n v="31"/>
    <s v="Female"/>
    <s v="Dutch"/>
    <s v="Hotel"/>
    <n v="1100"/>
    <s v="Flight"/>
    <x v="0"/>
    <n v="700"/>
    <n v="1800"/>
  </r>
  <r>
    <n v="50"/>
    <s v="Paris"/>
    <s v="France"/>
    <s v="Europe"/>
    <d v="2023-08-15T00:00:00"/>
    <d v="2023-08-22T00:00:00"/>
    <n v="7"/>
    <s v="JenniferNguyen"/>
    <n v="31"/>
    <s v="Female"/>
    <s v="Canadian"/>
    <s v="Hotel"/>
    <n v="1200"/>
    <s v="Train"/>
    <x v="1"/>
    <n v="300"/>
    <n v="1500"/>
  </r>
  <r>
    <n v="51"/>
    <s v="Tokyo"/>
    <s v="Japan"/>
    <s v="Asia"/>
    <d v="2023-10-10T00:00:00"/>
    <d v="2023-10-20T00:00:00"/>
    <n v="10"/>
    <s v="DavidKim"/>
    <n v="25"/>
    <s v="Male"/>
    <s v="American"/>
    <s v="Hostel"/>
    <n v="500"/>
    <s v="Bus"/>
    <x v="2"/>
    <n v="100"/>
    <n v="600"/>
  </r>
  <r>
    <n v="52"/>
    <s v="Sydney"/>
    <s v="Australia"/>
    <s v="Australia"/>
    <d v="2023-05-11T00:00:00"/>
    <d v="2023-12-11T00:00:00"/>
    <n v="7"/>
    <s v="RachelLee"/>
    <n v="27"/>
    <s v="Female"/>
    <s v="SouthKorean"/>
    <s v="Airbnb"/>
    <n v="900"/>
    <s v="Carrental"/>
    <x v="2"/>
    <n v="200"/>
    <n v="1100"/>
  </r>
  <r>
    <n v="53"/>
    <s v="NewYork"/>
    <s v="USA"/>
    <s v="North America"/>
    <d v="2023-12-24T00:00:00"/>
    <d v="2023-12-31T00:00:00"/>
    <n v="7"/>
    <s v="JessicaWong"/>
    <n v="28"/>
    <s v="Female"/>
    <s v="Canadian"/>
    <s v="Hotel"/>
    <n v="1400"/>
    <s v="Flight"/>
    <x v="0"/>
    <n v="800"/>
    <n v="2200"/>
  </r>
  <r>
    <n v="54"/>
    <s v="RiodeJaneiro"/>
    <s v="Brazil"/>
    <s v="South America"/>
    <d v="2024-01-15T00:00:00"/>
    <d v="2024-01-24T00:00:00"/>
    <n v="9"/>
    <s v="FelipeAlmeida"/>
    <n v="30"/>
    <s v="Male"/>
    <s v="Brazilian"/>
    <s v="Airbnb"/>
    <n v="800"/>
    <s v="Train"/>
    <x v="1"/>
    <n v="150"/>
    <n v="950"/>
  </r>
  <r>
    <n v="55"/>
    <s v="Bangkok"/>
    <s v="Thailand"/>
    <s v="Asia"/>
    <d v="2024-01-02T00:00:00"/>
    <d v="2024-09-02T00:00:00"/>
    <n v="8"/>
    <s v="NisaPatel"/>
    <n v="23"/>
    <s v="Female"/>
    <s v="Indian"/>
    <s v="Hostel"/>
    <n v="400"/>
    <s v="Bus"/>
    <x v="2"/>
    <n v="50"/>
    <n v="450"/>
  </r>
  <r>
    <n v="56"/>
    <s v="London"/>
    <s v="UK"/>
    <s v="Europe"/>
    <d v="2024-03-15T00:00:00"/>
    <d v="2024-03-23T00:00:00"/>
    <n v="8"/>
    <s v="BenSmith"/>
    <n v="35"/>
    <s v="Male"/>
    <s v="British"/>
    <s v="Hotel"/>
    <n v="1000"/>
    <s v="Train"/>
    <x v="1"/>
    <n v="200"/>
    <n v="1200"/>
  </r>
  <r>
    <n v="57"/>
    <s v="Barcelona"/>
    <s v="Spain"/>
    <s v="Europe"/>
    <d v="2024-05-04T00:00:00"/>
    <d v="2024-04-13T00:00:00"/>
    <n v="8"/>
    <s v="LauraGomez"/>
    <n v="29"/>
    <s v="Female"/>
    <s v="Spanish"/>
    <s v="Airbnb"/>
    <n v="700"/>
    <s v="Carrental"/>
    <x v="2"/>
    <n v="250"/>
    <n v="950"/>
  </r>
  <r>
    <n v="58"/>
    <s v="Seoul"/>
    <s v="SouthKorea"/>
    <s v="Asia"/>
    <d v="2024-10-05T00:00:00"/>
    <d v="2024-05-18T00:00:00"/>
    <n v="8"/>
    <s v="ParkMinWoo"/>
    <n v="27"/>
    <s v="Male"/>
    <s v="SouthKorean"/>
    <s v="Hostel"/>
    <n v="500"/>
    <s v="Subway"/>
    <x v="1"/>
    <n v="20"/>
    <n v="520"/>
  </r>
  <r>
    <n v="59"/>
    <s v="LosAngeles"/>
    <s v="USA"/>
    <s v="North America"/>
    <d v="2024-06-20T00:00:00"/>
    <d v="2024-06-27T00:00:00"/>
    <n v="7"/>
    <s v="MichaelChen"/>
    <n v="26"/>
    <s v="Male"/>
    <s v="Chinese"/>
    <s v="Hotel"/>
    <n v="1200"/>
    <s v="Carrental"/>
    <x v="2"/>
    <n v="300"/>
    <n v="1500"/>
  </r>
  <r>
    <n v="60"/>
    <s v="Rome"/>
    <s v="Italy"/>
    <s v="Europe"/>
    <d v="2024-07-15T00:00:00"/>
    <d v="2024-07-23T00:00:00"/>
    <n v="8"/>
    <s v="SofiaRossi"/>
    <n v="33"/>
    <s v="Female"/>
    <s v="Italian"/>
    <s v="Airbnb"/>
    <n v="800"/>
    <s v="Train"/>
    <x v="1"/>
    <n v="100"/>
    <n v="900"/>
  </r>
  <r>
    <n v="61"/>
    <s v="Paris"/>
    <s v="France"/>
    <s v="Europe"/>
    <d v="2022-12-07T00:00:00"/>
    <d v="2022-07-18T00:00:00"/>
    <n v="6"/>
    <s v="RachelSanders"/>
    <n v="35"/>
    <s v="Female"/>
    <s v="American"/>
    <s v="Hotel"/>
    <n v="1200"/>
    <s v="Flight"/>
    <x v="0"/>
    <n v="800"/>
    <n v="2000"/>
  </r>
  <r>
    <n v="62"/>
    <s v="Tokyo"/>
    <s v="Japan"/>
    <s v="Asia"/>
    <d v="2022-03-09T00:00:00"/>
    <d v="2022-10-09T00:00:00"/>
    <n v="7"/>
    <s v="KenjiNakamura"/>
    <n v="28"/>
    <s v="Male"/>
    <s v="Japanese"/>
    <s v="Hostel"/>
    <n v="400"/>
    <s v="Train"/>
    <x v="1"/>
    <n v="300"/>
    <n v="700"/>
  </r>
  <r>
    <n v="63"/>
    <s v="CapeTown"/>
    <s v="SouthAfrica"/>
    <s v="Africa"/>
    <d v="2023-07-01T00:00:00"/>
    <d v="2023-01-16T00:00:00"/>
    <n v="9"/>
    <s v="EmilyWatson"/>
    <n v="29"/>
    <s v="Female"/>
    <s v="British"/>
    <s v="Vacationrental"/>
    <n v="800"/>
    <s v="Carrental"/>
    <x v="2"/>
    <n v="200"/>
    <n v="1000"/>
  </r>
  <r>
    <n v="64"/>
    <s v="Sydney"/>
    <s v="Australia"/>
    <s v="Australia"/>
    <d v="2023-06-23T00:00:00"/>
    <d v="2023-06-29T00:00:00"/>
    <n v="6"/>
    <s v="DavidLee"/>
    <n v="43"/>
    <s v="Male"/>
    <s v="Australian"/>
    <s v="Hotel"/>
    <n v="1500"/>
    <s v="Flight"/>
    <x v="0"/>
    <n v="1200"/>
    <n v="2700"/>
  </r>
  <r>
    <n v="65"/>
    <s v="Barcelona"/>
    <s v="Spain"/>
    <s v="Europe"/>
    <d v="2023-08-18T00:00:00"/>
    <d v="2023-08-25T00:00:00"/>
    <n v="7"/>
    <s v="AnaRodriguez"/>
    <n v="31"/>
    <s v="Female"/>
    <s v="Spanish"/>
    <s v="Vacationrental"/>
    <n v="900"/>
    <s v="Flight"/>
    <x v="0"/>
    <n v="700"/>
    <n v="1600"/>
  </r>
  <r>
    <n v="66"/>
    <s v="Bali"/>
    <s v="Indonesia"/>
    <s v="Asia"/>
    <d v="2024-01-02T00:00:00"/>
    <d v="2024-08-02T00:00:00"/>
    <n v="7"/>
    <s v="TomWilson"/>
    <n v="27"/>
    <s v="Male"/>
    <s v="American"/>
    <s v="Resort"/>
    <n v="2200"/>
    <s v="Flight"/>
    <x v="0"/>
    <n v="1000"/>
    <n v="3200"/>
  </r>
  <r>
    <n v="67"/>
    <s v="Paris"/>
    <s v="France"/>
    <s v="Europe"/>
    <d v="2024-06-05T00:00:00"/>
    <d v="2024-12-05T00:00:00"/>
    <n v="6"/>
    <s v="OliviaGreen"/>
    <n v="39"/>
    <s v="Female"/>
    <s v="French"/>
    <s v="Hotel"/>
    <n v="1100"/>
    <s v="Train"/>
    <x v="1"/>
    <n v="200"/>
    <n v="1300"/>
  </r>
  <r>
    <n v="68"/>
    <s v="NewYork"/>
    <s v="USA"/>
    <s v="North America"/>
    <d v="2024-07-20T00:00:00"/>
    <d v="2024-07-26T00:00:00"/>
    <n v="6"/>
    <s v="JamesChen"/>
    <n v="25"/>
    <s v="Male"/>
    <s v="American"/>
    <s v="Vacationrental"/>
    <n v="1000"/>
    <s v="Flight"/>
    <x v="0"/>
    <n v="800"/>
    <n v="1800"/>
  </r>
  <r>
    <n v="69"/>
    <s v="Bangkok"/>
    <s v="Thailand"/>
    <s v="Asia"/>
    <d v="2024-08-09T00:00:00"/>
    <d v="2024-09-16T00:00:00"/>
    <n v="8"/>
    <s v="LilaPatel"/>
    <n v="33"/>
    <s v="Female"/>
    <s v="Indian"/>
    <s v="Hostel"/>
    <n v="300"/>
    <s v="Flight"/>
    <x v="0"/>
    <n v="700"/>
    <n v="1000"/>
  </r>
  <r>
    <n v="70"/>
    <s v="Rome"/>
    <s v="Italy"/>
    <s v="Europe"/>
    <d v="2025-02-14T00:00:00"/>
    <d v="2025-02-20T00:00:00"/>
    <n v="6"/>
    <s v="MarcoRossi"/>
    <n v="41"/>
    <s v="Male"/>
    <s v="Italian"/>
    <s v="Hotel"/>
    <n v="1300"/>
    <s v="Train"/>
    <x v="1"/>
    <n v="100"/>
    <n v="1400"/>
  </r>
  <r>
    <n v="71"/>
    <s v="Bali"/>
    <s v="Indonesia"/>
    <s v="Asia"/>
    <d v="2025-05-21T00:00:00"/>
    <d v="2025-05-29T00:00:00"/>
    <n v="8"/>
    <s v="SarahBrown"/>
    <n v="37"/>
    <s v="Female"/>
    <s v="British"/>
    <s v="Resort"/>
    <n v="1800"/>
    <s v="Flight"/>
    <x v="0"/>
    <n v="1000"/>
    <n v="2800"/>
  </r>
  <r>
    <n v="73"/>
    <s v="Bali"/>
    <s v="Indonesia"/>
    <s v="Asia"/>
    <d v="2022-05-08T00:00:00"/>
    <d v="2022-12-08T00:00:00"/>
    <n v="7"/>
    <s v="SarahLee"/>
    <n v="35"/>
    <s v="Female"/>
    <s v="SouthKorean"/>
    <s v="Resort"/>
    <n v="500"/>
    <s v="Flight"/>
    <x v="0"/>
    <n v="800"/>
    <n v="1300"/>
  </r>
  <r>
    <n v="74"/>
    <s v="Tokyo"/>
    <s v="Japan"/>
    <s v="Asia"/>
    <d v="2023-01-01T00:00:00"/>
    <d v="2023-09-01T00:00:00"/>
    <n v="8"/>
    <s v="AlexKim"/>
    <n v="29"/>
    <s v="Male"/>
    <s v="American"/>
    <s v="Hotel"/>
    <n v="1000"/>
    <s v="Train"/>
    <x v="1"/>
    <n v="200"/>
    <n v="1200"/>
  </r>
  <r>
    <n v="75"/>
    <s v="Cancun"/>
    <s v="Mexico"/>
    <s v="North America"/>
    <d v="2023-04-15T00:00:00"/>
    <d v="2023-04-22T00:00:00"/>
    <n v="7"/>
    <s v="MariaHernandez"/>
    <n v="42"/>
    <s v="Female"/>
    <s v="Mexican"/>
    <s v="Resort"/>
    <n v="800"/>
    <s v="Flight"/>
    <x v="0"/>
    <n v="500"/>
    <n v="1300"/>
  </r>
  <r>
    <n v="76"/>
    <s v="Paris"/>
    <s v="France"/>
    <s v="Europe"/>
    <d v="2023-07-06T00:00:00"/>
    <d v="2023-06-14T00:00:00"/>
    <n v="7"/>
    <s v="JohnSmith"/>
    <n v="46"/>
    <s v="Male"/>
    <s v="British"/>
    <s v="Hotel"/>
    <n v="1200"/>
    <s v="Flight"/>
    <x v="0"/>
    <n v="700"/>
    <n v="1900"/>
  </r>
  <r>
    <n v="77"/>
    <s v="CapeTown"/>
    <s v="SouthAfrica"/>
    <s v="Africa"/>
    <d v="2023-01-09T00:00:00"/>
    <d v="2023-10-09T00:00:00"/>
    <n v="9"/>
    <s v="MarkJohnson"/>
    <n v="31"/>
    <s v="Male"/>
    <s v="SouthAfrican"/>
    <s v="Guesthouse"/>
    <n v="400"/>
    <s v="Car"/>
    <x v="2"/>
    <n v="300"/>
    <n v="700"/>
  </r>
  <r>
    <n v="78"/>
    <s v="Bali"/>
    <s v="Indonesia"/>
    <s v="Asia"/>
    <d v="2023-12-11T00:00:00"/>
    <d v="2023-11-19T00:00:00"/>
    <n v="7"/>
    <s v="AmandaChen"/>
    <n v="25"/>
    <s v="Female"/>
    <s v="Taiwanese"/>
    <s v="Resort"/>
    <n v="600"/>
    <s v="Flight"/>
    <x v="0"/>
    <n v="700"/>
    <n v="1300"/>
  </r>
  <r>
    <n v="79"/>
    <s v="Sydney"/>
    <s v="Australia"/>
    <s v="Australia"/>
    <d v="2024-05-02T00:00:00"/>
    <d v="2024-12-02T00:00:00"/>
    <n v="7"/>
    <s v="DavidLee"/>
    <n v="38"/>
    <s v="Male"/>
    <s v="Australian"/>
    <s v="Hotel"/>
    <n v="900"/>
    <s v="Flight"/>
    <x v="0"/>
    <n v="600"/>
    <n v="1500"/>
  </r>
  <r>
    <n v="80"/>
    <s v="Bangkok"/>
    <s v="Thailand"/>
    <s v="Asia"/>
    <d v="2024-05-15T00:00:00"/>
    <d v="2024-05-22T00:00:00"/>
    <n v="7"/>
    <s v="NanaKwon"/>
    <n v="27"/>
    <s v="Female"/>
    <s v="Korean"/>
    <s v="Hotel"/>
    <n v="400"/>
    <s v="Flight"/>
    <x v="0"/>
    <n v="400"/>
    <n v="800"/>
  </r>
  <r>
    <n v="81"/>
    <s v="NewYork"/>
    <s v="USA"/>
    <s v="North America"/>
    <d v="2024-08-20T00:00:00"/>
    <d v="2024-08-27T00:00:00"/>
    <n v="7"/>
    <s v="TomHanks"/>
    <n v="60"/>
    <s v="Male"/>
    <s v="American"/>
    <s v="Hotel"/>
    <n v="1500"/>
    <s v="Flight"/>
    <x v="0"/>
    <n v="1000"/>
    <n v="2500"/>
  </r>
  <r>
    <n v="82"/>
    <s v="Phuket"/>
    <s v="Thailand"/>
    <s v="Asia"/>
    <d v="2025-01-01T00:00:00"/>
    <d v="2025-08-01T00:00:00"/>
    <n v="7"/>
    <s v="EmmaWatson"/>
    <n v="32"/>
    <s v="Female"/>
    <s v="British"/>
    <s v="Resort"/>
    <n v="700"/>
    <s v="Flight"/>
    <x v="0"/>
    <n v="800"/>
    <n v="1500"/>
  </r>
  <r>
    <n v="83"/>
    <s v="Rome"/>
    <s v="Italy"/>
    <s v="Europe"/>
    <d v="2025-04-15T00:00:00"/>
    <d v="2025-04-22T00:00:00"/>
    <n v="7"/>
    <s v="JamesKim"/>
    <n v="41"/>
    <s v="Male"/>
    <s v="American"/>
    <s v="Hotel"/>
    <n v="100"/>
    <s v="Bus"/>
    <x v="2"/>
    <n v="50"/>
    <n v="150"/>
  </r>
  <r>
    <n v="84"/>
    <s v="Paris"/>
    <s v="France"/>
    <s v="Europe"/>
    <d v="2021-06-15T00:00:00"/>
    <d v="2021-06-20T00:00:00"/>
    <n v="6"/>
    <s v="JohnSmith"/>
    <n v="35"/>
    <s v="Male"/>
    <s v="American"/>
    <s v="Hotel"/>
    <n v="800"/>
    <s v="Flight"/>
    <x v="0"/>
    <n v="500"/>
    <n v="1300"/>
  </r>
  <r>
    <n v="85"/>
    <s v="Tokyo"/>
    <s v="Japan"/>
    <s v="Asia"/>
    <d v="2021-01-07T00:00:00"/>
    <d v="2021-10-07T00:00:00"/>
    <n v="10"/>
    <s v="SarahLee"/>
    <n v="28"/>
    <s v="Female"/>
    <s v="Korean"/>
    <s v="Airbnb"/>
    <n v="500"/>
    <s v="Train"/>
    <x v="1"/>
    <n v="300"/>
    <n v="800"/>
  </r>
  <r>
    <n v="86"/>
    <s v="Bali"/>
    <s v="Indonesia"/>
    <s v="Asia"/>
    <d v="2021-10-08T00:00:00"/>
    <d v="2021-08-20T00:00:00"/>
    <n v="11"/>
    <s v="MariaGarcia"/>
    <n v="42"/>
    <s v="Female"/>
    <s v="Spanish"/>
    <s v="Resort"/>
    <n v="1200"/>
    <s v="Flight"/>
    <x v="0"/>
    <n v="700"/>
    <n v="1900"/>
  </r>
  <r>
    <n v="87"/>
    <s v="Sydney"/>
    <s v="Australia"/>
    <s v="Australia"/>
    <d v="2021-01-09T00:00:00"/>
    <d v="2021-10-09T00:00:00"/>
    <n v="9"/>
    <s v="DavidLee"/>
    <n v="45"/>
    <s v="Male"/>
    <s v="Australian"/>
    <s v="Hotel"/>
    <n v="900"/>
    <s v="Flight"/>
    <x v="0"/>
    <n v="600"/>
    <n v="1500"/>
  </r>
  <r>
    <n v="88"/>
    <s v="NewYork"/>
    <s v="USA"/>
    <s v="North America"/>
    <d v="2021-10-15T00:00:00"/>
    <d v="2021-10-20T00:00:00"/>
    <n v="6"/>
    <s v="EmilyDavis"/>
    <n v="31"/>
    <s v="Female"/>
    <s v="American"/>
    <s v="Airbnb"/>
    <n v="700"/>
    <s v="Carrental"/>
    <x v="2"/>
    <n v="200"/>
    <n v="900"/>
  </r>
  <r>
    <n v="89"/>
    <s v="London"/>
    <s v="UK"/>
    <s v="Europe"/>
    <d v="2021-11-20T00:00:00"/>
    <d v="2021-11-30T00:00:00"/>
    <n v="11"/>
    <s v="JamesWilson"/>
    <n v="29"/>
    <s v="Male"/>
    <s v="British"/>
    <s v="Hostel"/>
    <n v="300"/>
    <s v="Flight"/>
    <x v="0"/>
    <n v="400"/>
    <n v="700"/>
  </r>
  <r>
    <n v="90"/>
    <s v="Dubai"/>
    <s v="UnitedArabEmirates"/>
    <s v="Asia"/>
    <d v="2022-01-01T00:00:00"/>
    <d v="2022-08-01T00:00:00"/>
    <n v="8"/>
    <s v="FatimaAhmed"/>
    <n v="24"/>
    <s v="Female"/>
    <s v="Emirati"/>
    <s v="Hotel"/>
    <n v="1000"/>
    <s v="Flight"/>
    <x v="0"/>
    <n v="800"/>
    <n v="1800"/>
  </r>
  <r>
    <n v="91"/>
    <s v="Bangkok"/>
    <s v="Thailand"/>
    <s v="Asia"/>
    <d v="2022-02-14T00:00:00"/>
    <d v="2022-02-20T00:00:00"/>
    <n v="7"/>
    <s v="LiamNguyen"/>
    <n v="26"/>
    <s v="Male"/>
    <s v="Vietnamese"/>
    <s v="Airbnb"/>
    <n v="400"/>
    <s v="Train"/>
    <x v="1"/>
    <n v="100"/>
    <n v="500"/>
  </r>
  <r>
    <n v="92"/>
    <s v="Rome"/>
    <s v="Italy"/>
    <s v="Europe"/>
    <d v="2022-10-03T00:00:00"/>
    <d v="2022-03-20T00:00:00"/>
    <n v="11"/>
    <s v="GiuliaRossi"/>
    <n v="30"/>
    <s v="Female"/>
    <s v="Italian"/>
    <s v="Hostel"/>
    <n v="200"/>
    <s v="Flight"/>
    <x v="0"/>
    <n v="350"/>
    <n v="550"/>
  </r>
  <r>
    <n v="93"/>
    <s v="Bali"/>
    <s v="Indonesia"/>
    <s v="Asia"/>
    <d v="2022-04-15T00:00:00"/>
    <d v="2022-04-25T00:00:00"/>
    <n v="11"/>
    <s v="PutraWijaya"/>
    <n v="33"/>
    <s v="Male"/>
    <s v="Indonesian"/>
    <s v="Villa"/>
    <n v="1500"/>
    <s v="Carrental"/>
    <x v="2"/>
    <n v="300"/>
    <n v="1800"/>
  </r>
  <r>
    <n v="94"/>
    <s v="Seoul"/>
    <s v="SouthKorea"/>
    <s v="Asia"/>
    <d v="2022-01-05T00:00:00"/>
    <d v="2022-10-05T00:00:00"/>
    <n v="10"/>
    <s v="KimMin/ji"/>
    <n v="27"/>
    <s v="Female"/>
    <s v="Korean"/>
    <s v="Hotel"/>
    <n v="800"/>
    <s v="Train"/>
    <x v="1"/>
    <n v="150"/>
    <n v="950"/>
  </r>
  <r>
    <n v="95"/>
    <s v="Paris"/>
    <s v="France"/>
    <s v="Europe"/>
    <d v="2022-06-15T00:00:00"/>
    <d v="2022-06-20T00:00:00"/>
    <n v="5"/>
    <s v="JohnSmith"/>
    <n v="35"/>
    <s v="Male"/>
    <s v="USA"/>
    <s v="Hotel"/>
    <n v="500"/>
    <s v="Flight"/>
    <x v="0"/>
    <n v="800"/>
    <n v="1300"/>
  </r>
  <r>
    <n v="96"/>
    <s v="Tokyo"/>
    <s v="Japan"/>
    <s v="Asia"/>
    <d v="2022-01-09T00:00:00"/>
    <d v="2022-10-09T00:00:00"/>
    <n v="9"/>
    <s v="EmilyJohnson"/>
    <n v="28"/>
    <s v="Female"/>
    <s v="Canada"/>
    <s v="Airbnb"/>
    <n v="400"/>
    <s v="Train"/>
    <x v="1"/>
    <n v="200"/>
    <n v="600"/>
  </r>
  <r>
    <n v="97"/>
    <s v="Sydney"/>
    <s v="Australia"/>
    <s v="Australia"/>
    <d v="2022-11-23T00:00:00"/>
    <d v="2022-02-12T00:00:00"/>
    <n v="9"/>
    <s v="DavidLee"/>
    <n v="45"/>
    <s v="Male"/>
    <s v="SouthKorea"/>
    <s v="Hostel"/>
    <n v="200"/>
    <s v="Flight"/>
    <x v="0"/>
    <n v="1200"/>
    <n v="1400"/>
  </r>
  <r>
    <n v="98"/>
    <s v="London"/>
    <s v="UK"/>
    <s v="Europe"/>
    <d v="2023-02-14T00:00:00"/>
    <d v="2023-02-19T00:00:00"/>
    <n v="5"/>
    <s v="SarahBrown"/>
    <n v="37"/>
    <s v="Female"/>
    <s v="UK"/>
    <s v="Hotel"/>
    <n v="600"/>
    <s v="Flight"/>
    <x v="0"/>
    <n v="700"/>
    <n v="1300"/>
  </r>
  <r>
    <n v="99"/>
    <s v="NewYork"/>
    <s v="USA"/>
    <s v="North America"/>
    <d v="2023-08-05T00:00:00"/>
    <d v="2023-05-14T00:00:00"/>
    <n v="6"/>
    <s v="MichaelWong"/>
    <n v="50"/>
    <s v="Male"/>
    <s v="China"/>
    <s v="Airbnb"/>
    <n v="800"/>
    <s v="Carrental"/>
    <x v="2"/>
    <n v="300"/>
    <n v="1100"/>
  </r>
  <r>
    <n v="100"/>
    <s v="Rome"/>
    <s v="Italy"/>
    <s v="Europe"/>
    <d v="2023-08-20T00:00:00"/>
    <d v="2023-08-27T00:00:00"/>
    <n v="7"/>
    <s v="JessicaChen"/>
    <n v="31"/>
    <s v="Female"/>
    <s v="Taiwan"/>
    <s v="Hotel"/>
    <n v="700"/>
    <s v="Flight"/>
    <x v="0"/>
    <n v="900"/>
    <n v="1600"/>
  </r>
  <r>
    <n v="101"/>
    <s v="Bangkok"/>
    <s v="Thailand"/>
    <s v="Asia"/>
    <d v="2023-12-11T00:00:00"/>
    <d v="2023-11-20T00:00:00"/>
    <n v="8"/>
    <s v="KenTanaka"/>
    <n v="42"/>
    <s v="Male"/>
    <s v="Japan"/>
    <s v="Hostel"/>
    <n v="300"/>
    <s v="Train"/>
    <x v="1"/>
    <n v="100"/>
    <n v="400"/>
  </r>
  <r>
    <n v="102"/>
    <s v="CapeTown"/>
    <s v="SouthAfrica"/>
    <s v="Africa"/>
    <d v="2024-06-01T00:00:00"/>
    <d v="2024-01-14T00:00:00"/>
    <n v="8"/>
    <s v="MariaGarcia"/>
    <n v="27"/>
    <s v="Female"/>
    <s v="Spain"/>
    <s v="Airbnb"/>
    <n v="500"/>
    <s v="Flight"/>
    <x v="0"/>
    <n v="1500"/>
    <n v="2000"/>
  </r>
  <r>
    <n v="103"/>
    <s v="RiodeJaneiro"/>
    <s v="Brazil"/>
    <s v="South America"/>
    <d v="2024-03-04T00:00:00"/>
    <d v="2024-10-04T00:00:00"/>
    <n v="7"/>
    <s v="RodrigoOliveira"/>
    <n v="33"/>
    <s v="Male"/>
    <s v="Brazil"/>
    <s v="Hotel"/>
    <n v="900"/>
    <s v="Carrental"/>
    <x v="2"/>
    <n v="400"/>
    <n v="1300"/>
  </r>
  <r>
    <n v="104"/>
    <s v="Bali"/>
    <s v="Indonesia"/>
    <s v="Asia"/>
    <d v="2024-07-22T00:00:00"/>
    <d v="2024-07-28T00:00:00"/>
    <n v="6"/>
    <s v="OliviaKim"/>
    <n v="29"/>
    <s v="Female"/>
    <s v="SouthKorea"/>
    <s v="Villa"/>
    <n v="1200"/>
    <s v="Flight"/>
    <x v="0"/>
    <n v="1000"/>
    <n v="2200"/>
  </r>
  <r>
    <n v="105"/>
    <s v="Amsterdam"/>
    <s v="Netherlands"/>
    <s v="Europe"/>
    <d v="2024-10-10T00:00:00"/>
    <d v="2024-10-17T00:00:00"/>
    <n v="7"/>
    <s v="RobertMueller"/>
    <n v="41"/>
    <s v="Male"/>
    <s v="Germany"/>
    <s v="Hotel"/>
    <n v="600"/>
    <s v="Train"/>
    <x v="1"/>
    <n v="150"/>
    <n v="750"/>
  </r>
  <r>
    <n v="106"/>
    <s v="Paris"/>
    <s v="France"/>
    <s v="Europe"/>
    <d v="2022-05-15T00:00:00"/>
    <d v="2022-05-20T00:00:00"/>
    <n v="5"/>
    <s v="JohnSmith"/>
    <n v="35"/>
    <s v="Male"/>
    <s v="USA"/>
    <s v="Hotel"/>
    <n v="1000"/>
    <s v="Flight"/>
    <x v="0"/>
    <n v="800"/>
    <n v="1800"/>
  </r>
  <r>
    <n v="107"/>
    <s v="Tokyo"/>
    <s v="Japan"/>
    <s v="Asia"/>
    <d v="2022-01-09T00:00:00"/>
    <d v="2022-10-09T00:00:00"/>
    <n v="9"/>
    <s v="SarahLee"/>
    <n v="28"/>
    <s v="Female"/>
    <s v="SouthKorea"/>
    <s v="Airbnb"/>
    <n v="800"/>
    <s v="Train"/>
    <x v="1"/>
    <n v="500"/>
    <n v="1300"/>
  </r>
  <r>
    <n v="108"/>
    <s v="NewYork"/>
    <s v="USA"/>
    <s v="North America"/>
    <d v="2022-06-20T00:00:00"/>
    <d v="2022-06-25T00:00:00"/>
    <n v="5"/>
    <s v="MichaelWong"/>
    <n v="42"/>
    <s v="Male"/>
    <s v="HongKong"/>
    <s v="Hotel"/>
    <n v="1200"/>
    <s v="Carrental"/>
    <x v="2"/>
    <n v="200"/>
    <n v="1400"/>
  </r>
  <r>
    <n v="109"/>
    <s v="Bali"/>
    <s v="Indonesia"/>
    <s v="Asia"/>
    <d v="2022-12-08T00:00:00"/>
    <d v="2022-08-20T00:00:00"/>
    <n v="8"/>
    <s v="LisaChen"/>
    <n v="30"/>
    <s v="Female"/>
    <s v="Taiwan"/>
    <s v="Resort"/>
    <n v="1500"/>
    <s v="Flight"/>
    <x v="0"/>
    <n v="1200"/>
    <n v="2700"/>
  </r>
  <r>
    <n v="110"/>
    <s v="Sydney"/>
    <s v="Australia"/>
    <s v="Australia"/>
    <d v="2022-01-07T00:00:00"/>
    <d v="2022-10-07T00:00:00"/>
    <n v="9"/>
    <s v="DavidKim"/>
    <n v="26"/>
    <s v="Male"/>
    <s v="Canada"/>
    <s v="Hostel"/>
    <n v="300"/>
    <s v="Flight"/>
    <x v="0"/>
    <n v="900"/>
    <n v="1200"/>
  </r>
  <r>
    <n v="111"/>
    <s v="London"/>
    <s v="UK"/>
    <s v="Europe"/>
    <d v="2022-10-06T00:00:00"/>
    <d v="2022-06-15T00:00:00"/>
    <n v="5"/>
    <s v="EmilyWong"/>
    <n v="38"/>
    <s v="Female"/>
    <s v="UnitedKingdom"/>
    <s v="Hotel"/>
    <n v="900"/>
    <s v="Train"/>
    <x v="1"/>
    <n v="150"/>
    <n v="1050"/>
  </r>
  <r>
    <n v="112"/>
    <s v="Phuket"/>
    <s v="Thailand"/>
    <s v="Asia"/>
    <d v="2022-05-09T00:00:00"/>
    <d v="2022-12-09T00:00:00"/>
    <n v="7"/>
    <s v="MarkTan"/>
    <n v="45"/>
    <s v="Male"/>
    <s v="Singapore"/>
    <s v="Villa"/>
    <n v="2000"/>
    <s v="Flight"/>
    <x v="0"/>
    <n v="700"/>
    <n v="2700"/>
  </r>
  <r>
    <n v="113"/>
    <s v="Rome"/>
    <s v="Italy"/>
    <s v="Europe"/>
    <d v="2022-01-05T00:00:00"/>
    <d v="2022-08-05T00:00:00"/>
    <n v="7"/>
    <s v="EmmaLee"/>
    <n v="31"/>
    <s v="Female"/>
    <s v="Italy"/>
    <s v="Hotel"/>
    <n v="1100"/>
    <s v="Train"/>
    <x v="1"/>
    <n v="250"/>
    <n v="1350"/>
  </r>
  <r>
    <n v="114"/>
    <s v="Santorini"/>
    <s v="Greece"/>
    <s v="Europe"/>
    <d v="2022-07-15T00:00:00"/>
    <d v="2022-07-22T00:00:00"/>
    <n v="7"/>
    <s v="GeorgeChen"/>
    <n v="27"/>
    <s v="Male"/>
    <s v="Greece"/>
    <s v="Airbnb"/>
    <n v="1000"/>
    <s v="Ferry"/>
    <x v="3"/>
    <n v="150"/>
    <n v="1150"/>
  </r>
  <r>
    <n v="115"/>
    <s v="Dubai"/>
    <s v="UnitedArabEmirates"/>
    <s v="Asia"/>
    <d v="2022-08-25T00:00:00"/>
    <d v="2022-08-30T00:00:00"/>
    <n v="5"/>
    <s v="SophiaKim"/>
    <n v="29"/>
    <s v="Female"/>
    <s v="UnitedArabEmirates"/>
    <s v="Hotel"/>
    <n v="1500"/>
    <s v="Carrental"/>
    <x v="2"/>
    <n v="300"/>
    <n v="1800"/>
  </r>
  <r>
    <n v="116"/>
    <s v="PhnomPenh"/>
    <s v="Cambodia"/>
    <s v="Asia"/>
    <d v="2022-10-09T00:00:00"/>
    <d v="2022-09-15T00:00:00"/>
    <n v="5"/>
    <s v="AlexNg"/>
    <n v="33"/>
    <s v="Male"/>
    <s v="Cambodia"/>
    <s v="Hostel"/>
    <n v="200"/>
    <s v="Flight"/>
    <x v="0"/>
    <n v="500"/>
    <n v="700"/>
  </r>
  <r>
    <n v="117"/>
    <s v="Tokyo"/>
    <s v="Japan"/>
    <s v="Asia"/>
    <d v="2022-05-02T00:00:00"/>
    <d v="2022-02-14T00:00:00"/>
    <n v="9"/>
    <s v="AliceSmith"/>
    <n v="32"/>
    <s v="Female"/>
    <s v="American"/>
    <s v="Hotel"/>
    <n v="1000"/>
    <s v="Flight"/>
    <x v="0"/>
    <n v="700"/>
    <n v="1700"/>
  </r>
  <r>
    <n v="118"/>
    <s v="Paris"/>
    <s v="France"/>
    <s v="Europe"/>
    <d v="2022-03-15T00:00:00"/>
    <d v="2022-03-22T00:00:00"/>
    <n v="7"/>
    <s v="BobJohnson"/>
    <n v="47"/>
    <s v="Male"/>
    <s v="Canadian"/>
    <s v="Hotel"/>
    <n v="1200"/>
    <s v="Train"/>
    <x v="1"/>
    <n v="500"/>
    <n v="1700"/>
  </r>
  <r>
    <n v="119"/>
    <s v="Sydney"/>
    <s v="Australia"/>
    <s v="Australia"/>
    <d v="2022-01-05T00:00:00"/>
    <d v="2022-12-05T00:00:00"/>
    <n v="11"/>
    <s v="CindyChen"/>
    <n v="26"/>
    <s v="Female"/>
    <s v="Chinese"/>
    <s v="Airbnb"/>
    <n v="800"/>
    <s v="Flight"/>
    <x v="0"/>
    <n v="1000"/>
    <n v="1800"/>
  </r>
  <r>
    <n v="120"/>
    <s v="Rome"/>
    <s v="Italy"/>
    <s v="Europe"/>
    <d v="2022-10-06T00:00:00"/>
    <d v="2022-06-17T00:00:00"/>
    <n v="7"/>
    <s v="DavidLee"/>
    <n v="38"/>
    <s v="Male"/>
    <s v="Korean"/>
    <s v="Hotel"/>
    <n v="900"/>
    <s v="Train"/>
    <x v="1"/>
    <n v="400"/>
    <n v="1300"/>
  </r>
  <r>
    <n v="121"/>
    <s v="Bali"/>
    <s v="Indonesia"/>
    <s v="Asia"/>
    <d v="2022-07-20T00:00:00"/>
    <d v="2022-07-30T00:00:00"/>
    <n v="10"/>
    <s v="EmilyKim"/>
    <n v="29"/>
    <s v="Female"/>
    <s v="Korean"/>
    <s v="Hostel"/>
    <n v="500"/>
    <s v="Flight"/>
    <x v="0"/>
    <n v="800"/>
    <n v="1300"/>
  </r>
  <r>
    <n v="122"/>
    <s v="Cancun"/>
    <s v="Mexico"/>
    <s v="North America"/>
    <d v="2022-08-08T00:00:00"/>
    <d v="2022-08-16T00:00:00"/>
    <n v="8"/>
    <s v="FrankLi"/>
    <n v="41"/>
    <s v="Male"/>
    <s v="American"/>
    <s v="Hotel"/>
    <n v="1300"/>
    <s v="Flight"/>
    <x v="0"/>
    <n v="600"/>
    <n v="1900"/>
  </r>
  <r>
    <n v="123"/>
    <s v="Athens"/>
    <s v="Greece"/>
    <s v="Europe"/>
    <d v="2022-09-20T00:00:00"/>
    <d v="2022-09-30T00:00:00"/>
    <n v="10"/>
    <s v="GinaLee"/>
    <n v="35"/>
    <s v="Female"/>
    <s v="Korean"/>
    <s v="Airbnb"/>
    <n v="700"/>
    <s v="Flight"/>
    <x v="0"/>
    <n v="900"/>
    <n v="1600"/>
  </r>
  <r>
    <n v="124"/>
    <s v="Tokyo"/>
    <s v="Japan"/>
    <s v="Asia"/>
    <d v="2022-05-10T00:00:00"/>
    <d v="2022-10-13T00:00:00"/>
    <n v="8"/>
    <s v="HenryKim"/>
    <n v="24"/>
    <s v="Male"/>
    <s v="Korean"/>
    <s v="Hotel"/>
    <n v="1200"/>
    <s v="Flight"/>
    <x v="0"/>
    <n v="700"/>
    <n v="1900"/>
  </r>
  <r>
    <n v="125"/>
    <s v="Sydney"/>
    <s v="Australia"/>
    <s v="Australia"/>
    <d v="2022-11-11T00:00:00"/>
    <d v="2022-11-21T00:00:00"/>
    <n v="10"/>
    <s v="IsabellaChen"/>
    <n v="30"/>
    <s v="Female"/>
    <s v="Chinese"/>
    <s v="Airbnb"/>
    <n v="900"/>
    <s v="Flight"/>
    <x v="0"/>
    <n v="1000"/>
    <n v="1900"/>
  </r>
  <r>
    <n v="126"/>
    <s v="Paris"/>
    <s v="France"/>
    <s v="Europe"/>
    <d v="2022-12-24T00:00:00"/>
    <d v="2023-01-01T00:00:00"/>
    <n v="8"/>
    <s v="JackSmith"/>
    <n v="28"/>
    <s v="Male"/>
    <s v="American"/>
    <s v="Hostel"/>
    <n v="400"/>
    <s v="Flight"/>
    <x v="0"/>
    <n v="700"/>
    <n v="1100"/>
  </r>
  <r>
    <n v="127"/>
    <s v="Bali"/>
    <s v="Indonesia"/>
    <s v="Asia"/>
    <d v="2023-10-02T00:00:00"/>
    <d v="2024-02-18T00:00:00"/>
    <n v="8"/>
    <s v="KatieJohnson"/>
    <n v="33"/>
    <s v="Female"/>
    <s v="Canadian"/>
    <s v="Hotel"/>
    <n v="800"/>
    <s v="Flight"/>
    <x v="0"/>
    <n v="800"/>
    <n v="1600"/>
  </r>
  <r>
    <n v="128"/>
    <s v="Paris"/>
    <s v="France"/>
    <s v="Europe"/>
    <d v="2023-01-05T00:00:00"/>
    <d v="2023-07-05T00:00:00"/>
    <n v="6"/>
    <s v="JohnDoe"/>
    <n v="35"/>
    <s v="Male"/>
    <s v="American"/>
    <s v="Hotel"/>
    <n v="5000"/>
    <s v="Flight"/>
    <x v="0"/>
    <n v="1000"/>
    <n v="6000"/>
  </r>
  <r>
    <n v="129"/>
    <s v="Tokyo"/>
    <s v="Japan"/>
    <s v="Asia"/>
    <d v="2023-05-15T00:00:00"/>
    <d v="2023-05-22T00:00:00"/>
    <n v="7"/>
    <s v="JaneSmith"/>
    <n v="28"/>
    <s v="Female"/>
    <s v="British"/>
    <s v="Airbnb"/>
    <n v="7000"/>
    <s v="Train"/>
    <x v="1"/>
    <n v="1500"/>
    <n v="8500"/>
  </r>
  <r>
    <n v="130"/>
    <s v="CapeTown"/>
    <s v="SouthAfrica"/>
    <s v="Africa"/>
    <d v="2023-01-06T00:00:00"/>
    <d v="2023-10-06T00:00:00"/>
    <n v="9"/>
    <s v="MichaelJohnson"/>
    <n v="45"/>
    <s v="Male"/>
    <s v="SouthAfrican"/>
    <s v="Hostel"/>
    <n v="3000"/>
    <s v="Car"/>
    <x v="2"/>
    <n v="2000"/>
    <n v="5000"/>
  </r>
  <r>
    <n v="131"/>
    <s v="Sydney"/>
    <s v="Australia"/>
    <s v="Australia"/>
    <d v="2023-06-15T00:00:00"/>
    <d v="2023-06-21T00:00:00"/>
    <n v="6"/>
    <s v="SarahLee"/>
    <n v="31"/>
    <s v="Female"/>
    <s v="Australian"/>
    <s v="Hotel"/>
    <n v="6000"/>
    <s v="Flight"/>
    <x v="0"/>
    <n v="300"/>
    <n v="6300"/>
  </r>
  <r>
    <n v="132"/>
    <s v="Rome"/>
    <s v="Italy"/>
    <s v="Europe"/>
    <d v="2023-01-07T00:00:00"/>
    <d v="2023-08-07T00:00:00"/>
    <n v="7"/>
    <s v="DavidKim"/>
    <n v="42"/>
    <s v="Male"/>
    <s v="Korean"/>
    <s v="Airbnb"/>
    <n v="4000"/>
    <s v="Train"/>
    <x v="1"/>
    <n v="1500"/>
    <n v="5500"/>
  </r>
  <r>
    <n v="133"/>
    <s v="NewYorkCity"/>
    <s v="USA"/>
    <s v="North America"/>
    <d v="2023-07-15T00:00:00"/>
    <d v="2023-07-22T00:00:00"/>
    <n v="7"/>
    <s v="EmilyDavis"/>
    <n v="27"/>
    <s v="Female"/>
    <s v="American"/>
    <s v="Hotel"/>
    <n v="6500"/>
    <s v="Flight"/>
    <x v="0"/>
    <n v="500"/>
    <n v="7000"/>
  </r>
  <r>
    <n v="134"/>
    <s v="RiodeJaneiro"/>
    <s v="Brazil"/>
    <s v="South America"/>
    <d v="2023-01-08T00:00:00"/>
    <d v="2023-10-08T00:00:00"/>
    <n v="9"/>
    <s v="JosePerez"/>
    <n v="37"/>
    <s v="Male"/>
    <s v="Brazilian"/>
    <s v="Hostel"/>
    <n v="2500"/>
    <s v="Car"/>
    <x v="2"/>
    <n v="2000"/>
    <n v="4500"/>
  </r>
  <r>
    <n v="135"/>
    <s v="Vancouver"/>
    <s v="Canada"/>
    <s v="North America"/>
    <d v="2023-08-15T00:00:00"/>
    <d v="2023-08-21T00:00:00"/>
    <n v="6"/>
    <s v="EmmaWilson"/>
    <n v="29"/>
    <s v="Female"/>
    <s v="Canadian"/>
    <s v="Hotel"/>
    <n v="5000"/>
    <s v="Flight"/>
    <x v="0"/>
    <n v="3000"/>
    <n v="8000"/>
  </r>
  <r>
    <n v="136"/>
    <s v="Bangkok"/>
    <s v="Thailand"/>
    <s v="Asia"/>
    <d v="2023-01-09T00:00:00"/>
    <d v="2023-08-09T00:00:00"/>
    <n v="7"/>
    <s v="RyanChen"/>
    <n v="34"/>
    <s v="Male"/>
    <s v="Chinese"/>
    <s v="Hostel"/>
    <n v="2000"/>
    <s v="Train"/>
    <x v="1"/>
    <n v="1000"/>
    <n v="3000"/>
  </r>
  <r>
    <n v="137"/>
    <s v="Barcelona"/>
    <s v="Spain"/>
    <s v="Europe"/>
    <d v="2023-09-15T00:00:00"/>
    <d v="2023-09-22T00:00:00"/>
    <n v="7"/>
    <s v="SofiaRodriguez"/>
    <n v="25"/>
    <s v="Female"/>
    <s v="Spanish"/>
    <s v="Airbnb"/>
    <n v="600"/>
    <s v="Flight"/>
    <x v="0"/>
    <n v="300"/>
    <n v="900"/>
  </r>
  <r>
    <n v="138"/>
    <s v="Auckland"/>
    <s v="NewZealand"/>
    <s v="Australia"/>
    <d v="2023-01-10T00:00:00"/>
    <d v="2023-08-10T00:00:00"/>
    <n v="7"/>
    <s v="WilliamBrown"/>
    <n v="39"/>
    <s v="Male"/>
    <s v="NewZealander"/>
    <s v="Hotel"/>
    <n v="7000"/>
    <s v="Train"/>
    <x v="1"/>
    <n v="2500"/>
    <n v="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7">
  <r>
    <n v="1"/>
    <x v="0"/>
    <s v="UK"/>
    <x v="0"/>
    <d v="2023-01-05T00:00:00"/>
    <d v="2023-08-05T00:00:00"/>
    <n v="7"/>
    <s v="JohnSmith"/>
    <n v="35"/>
    <x v="0"/>
    <s v="American"/>
    <s v="Hotel"/>
    <n v="1200"/>
    <s v="Flight"/>
    <s v="Airway"/>
    <n v="600"/>
    <n v="1800"/>
  </r>
  <r>
    <n v="2"/>
    <x v="1"/>
    <s v="Thailand"/>
    <x v="1"/>
    <d v="2023-06-15T00:00:00"/>
    <d v="2023-06-20T00:00:00"/>
    <n v="5"/>
    <s v="JaneDoe"/>
    <n v="28"/>
    <x v="1"/>
    <s v="Canadian"/>
    <s v="Resort"/>
    <n v="800"/>
    <s v="Flight"/>
    <s v="Airway"/>
    <n v="500"/>
    <n v="1300"/>
  </r>
  <r>
    <n v="3"/>
    <x v="2"/>
    <s v="Indonesia"/>
    <x v="1"/>
    <d v="2023-01-07T00:00:00"/>
    <d v="2023-08-07T00:00:00"/>
    <n v="7"/>
    <s v="DavidLee"/>
    <n v="45"/>
    <x v="0"/>
    <s v="Korean"/>
    <s v="Villa"/>
    <n v="1000"/>
    <s v="Flight"/>
    <s v="Airway"/>
    <n v="700"/>
    <n v="1700"/>
  </r>
  <r>
    <n v="4"/>
    <x v="3"/>
    <s v="USA"/>
    <x v="2"/>
    <d v="2023-08-15T00:00:00"/>
    <d v="2023-08-29T00:00:00"/>
    <n v="14"/>
    <s v="SarahJohnson"/>
    <n v="29"/>
    <x v="1"/>
    <s v="British"/>
    <s v="Hotel"/>
    <n v="2000"/>
    <s v="Flight"/>
    <s v="Airway"/>
    <n v="1000"/>
    <n v="3000"/>
  </r>
  <r>
    <n v="5"/>
    <x v="4"/>
    <s v="Japan"/>
    <x v="1"/>
    <d v="2023-10-09T00:00:00"/>
    <d v="2023-09-17T00:00:00"/>
    <n v="7"/>
    <s v="KimNguyen"/>
    <n v="26"/>
    <x v="1"/>
    <s v="Vietnamese"/>
    <s v="Airbnb"/>
    <n v="700"/>
    <s v="Train"/>
    <s v="Railway"/>
    <n v="200"/>
    <n v="900"/>
  </r>
  <r>
    <n v="6"/>
    <x v="5"/>
    <s v="France"/>
    <x v="0"/>
    <d v="2023-05-10T00:00:00"/>
    <d v="2023-10-10T00:00:00"/>
    <n v="5"/>
    <s v="MichaelBrown"/>
    <n v="42"/>
    <x v="0"/>
    <s v="American"/>
    <s v="Hotel"/>
    <n v="1500"/>
    <s v="Flight"/>
    <s v="Airway"/>
    <n v="800"/>
    <n v="2300"/>
  </r>
  <r>
    <n v="7"/>
    <x v="6"/>
    <s v="Australia"/>
    <x v="3"/>
    <d v="2023-11-20T00:00:00"/>
    <d v="2023-11-30T00:00:00"/>
    <n v="10"/>
    <s v="EmilyDavis"/>
    <n v="33"/>
    <x v="1"/>
    <s v="Australian"/>
    <s v="Hostel"/>
    <n v="500"/>
    <s v="Flight"/>
    <s v="Airway"/>
    <n v="1200"/>
    <n v="1700"/>
  </r>
  <r>
    <n v="8"/>
    <x v="7"/>
    <s v="Brazil"/>
    <x v="4"/>
    <d v="2024-05-01T00:00:00"/>
    <d v="2024-12-01T00:00:00"/>
    <n v="7"/>
    <s v="LucasSantos"/>
    <n v="25"/>
    <x v="0"/>
    <s v="Brazilian"/>
    <s v="Airbnb"/>
    <n v="900"/>
    <s v="Flight"/>
    <s v="Airway"/>
    <n v="600"/>
    <n v="1500"/>
  </r>
  <r>
    <n v="9"/>
    <x v="8"/>
    <s v="Netherlands"/>
    <x v="0"/>
    <d v="2024-02-14T00:00:00"/>
    <d v="2024-02-21T00:00:00"/>
    <n v="7"/>
    <s v="LauraJanssen"/>
    <n v="31"/>
    <x v="1"/>
    <s v="Dutch"/>
    <s v="Hotel"/>
    <n v="1200"/>
    <s v="Train"/>
    <s v="Railway"/>
    <n v="200"/>
    <n v="1400"/>
  </r>
  <r>
    <n v="10"/>
    <x v="9"/>
    <s v="UnitedArabEmirates"/>
    <x v="1"/>
    <d v="2024-10-03T00:00:00"/>
    <d v="2024-03-17T00:00:00"/>
    <n v="7"/>
    <s v="MohammedAli"/>
    <n v="39"/>
    <x v="0"/>
    <s v="Emirati"/>
    <s v="Resort"/>
    <n v="2500"/>
    <s v="Flight"/>
    <s v="Airway"/>
    <n v="800"/>
    <n v="3300"/>
  </r>
  <r>
    <n v="11"/>
    <x v="10"/>
    <s v="Mexico"/>
    <x v="2"/>
    <d v="2024-01-04T00:00:00"/>
    <d v="2024-08-04T00:00:00"/>
    <n v="7"/>
    <s v="AnaHernandez"/>
    <n v="27"/>
    <x v="1"/>
    <s v="Mexican"/>
    <s v="Hotel"/>
    <n v="1000"/>
    <s v="Flight"/>
    <s v="Airway"/>
    <n v="500"/>
    <n v="1500"/>
  </r>
  <r>
    <n v="12"/>
    <x v="11"/>
    <s v="Spain"/>
    <x v="0"/>
    <d v="2024-05-15T00:00:00"/>
    <d v="2024-05-22T00:00:00"/>
    <n v="7"/>
    <s v="CarlosGarcia"/>
    <n v="36"/>
    <x v="0"/>
    <s v="Spanish"/>
    <s v="Airbnb"/>
    <n v="800"/>
    <s v="Train"/>
    <s v="Railway"/>
    <n v="100"/>
    <n v="900"/>
  </r>
  <r>
    <n v="13"/>
    <x v="12"/>
    <s v="Hawaii"/>
    <x v="2"/>
    <d v="2024-10-06T00:00:00"/>
    <d v="2024-06-18T00:00:00"/>
    <n v="8"/>
    <s v="LilyWong"/>
    <n v="29"/>
    <x v="1"/>
    <s v="Chinese"/>
    <s v="Resort"/>
    <n v="3000"/>
    <s v="Flight"/>
    <s v="Airway"/>
    <n v="1200"/>
    <n v="4200"/>
  </r>
  <r>
    <n v="14"/>
    <x v="13"/>
    <s v="Germany"/>
    <x v="0"/>
    <d v="2024-01-07T00:00:00"/>
    <d v="2024-10-07T00:00:00"/>
    <n v="9"/>
    <s v="HansMueller"/>
    <n v="48"/>
    <x v="0"/>
    <s v="German"/>
    <s v="Hotel"/>
    <n v="1400"/>
    <s v="Flight"/>
    <s v="Airway"/>
    <n v="700"/>
    <n v="2100"/>
  </r>
  <r>
    <n v="15"/>
    <x v="14"/>
    <s v="Morocco"/>
    <x v="5"/>
    <d v="2024-08-20T00:00:00"/>
    <d v="2024-08-27T00:00:00"/>
    <n v="7"/>
    <s v="FatimaKhouri"/>
    <n v="26"/>
    <x v="1"/>
    <s v="Moroccan"/>
    <s v="Riad"/>
    <n v="600"/>
    <s v="Flight"/>
    <s v="Airway"/>
    <n v="400"/>
    <n v="1000"/>
  </r>
  <r>
    <n v="16"/>
    <x v="15"/>
    <s v="Scotland"/>
    <x v="0"/>
    <d v="2024-05-09T00:00:00"/>
    <d v="2024-12-09T00:00:00"/>
    <n v="7"/>
    <s v="JamesMacKenzie"/>
    <n v="32"/>
    <x v="0"/>
    <s v="Scottish"/>
    <s v="Hotel"/>
    <n v="900"/>
    <s v="Train"/>
    <s v="Railway"/>
    <n v="150"/>
    <n v="1050"/>
  </r>
  <r>
    <n v="17"/>
    <x v="5"/>
    <s v="France"/>
    <x v="0"/>
    <d v="2023-01-09T00:00:00"/>
    <d v="2023-10-09T00:00:00"/>
    <n v="9"/>
    <s v="SarahJohnson"/>
    <n v="30"/>
    <x v="1"/>
    <s v="American"/>
    <s v="Hotel"/>
    <n v="900"/>
    <s v="Flight"/>
    <s v="Airway"/>
    <n v="400"/>
    <n v="1300"/>
  </r>
  <r>
    <n v="18"/>
    <x v="2"/>
    <s v="Indonesia"/>
    <x v="1"/>
    <d v="2023-08-15T00:00:00"/>
    <d v="2023-08-25T00:00:00"/>
    <n v="10"/>
    <s v="MichaelChang"/>
    <n v="28"/>
    <x v="0"/>
    <s v="Chinese"/>
    <s v="Resort"/>
    <n v="1500"/>
    <s v="Flight"/>
    <s v="Airway"/>
    <n v="700"/>
    <n v="2200"/>
  </r>
  <r>
    <n v="19"/>
    <x v="0"/>
    <s v="UK"/>
    <x v="0"/>
    <d v="2023-07-22T00:00:00"/>
    <d v="2023-07-28T00:00:00"/>
    <n v="6"/>
    <s v="OliviaRodriguez"/>
    <n v="35"/>
    <x v="1"/>
    <s v="British"/>
    <s v="Hotel"/>
    <n v="1200"/>
    <s v="Train"/>
    <s v="Railway"/>
    <n v="150"/>
    <n v="1350"/>
  </r>
  <r>
    <n v="20"/>
    <x v="4"/>
    <s v="Japan"/>
    <x v="1"/>
    <d v="2023-05-10T00:00:00"/>
    <d v="2023-10-15T00:00:00"/>
    <n v="10"/>
    <s v="KenjiNakamura"/>
    <n v="45"/>
    <x v="0"/>
    <s v="Japanese"/>
    <s v="Hotel"/>
    <n v="1200"/>
    <s v="Flight"/>
    <s v="Airway"/>
    <n v="800"/>
    <n v="2000"/>
  </r>
  <r>
    <n v="21"/>
    <x v="3"/>
    <s v="USA"/>
    <x v="2"/>
    <d v="2023-11-20T00:00:00"/>
    <d v="2023-11-25T00:00:00"/>
    <n v="5"/>
    <s v="EmilyLee"/>
    <n v="27"/>
    <x v="1"/>
    <s v="American"/>
    <s v="Airbnb"/>
    <n v="600"/>
    <s v="Bus"/>
    <s v="Roadway"/>
    <n v="100"/>
    <n v="700"/>
  </r>
  <r>
    <n v="22"/>
    <x v="6"/>
    <s v="Australia"/>
    <x v="3"/>
    <d v="2023-05-12T00:00:00"/>
    <d v="2023-12-12T00:00:00"/>
    <n v="7"/>
    <s v="JamesWilson"/>
    <n v="32"/>
    <x v="0"/>
    <s v="Australian"/>
    <s v="Hotel"/>
    <n v="1000"/>
    <s v="Flight"/>
    <s v="Airway"/>
    <n v="600"/>
    <n v="1600"/>
  </r>
  <r>
    <n v="23"/>
    <x v="16"/>
    <s v="Italy"/>
    <x v="0"/>
    <d v="2023-01-11T00:00:00"/>
    <d v="2023-08-11T00:00:00"/>
    <n v="7"/>
    <s v="SofiaRusso"/>
    <n v="29"/>
    <x v="1"/>
    <s v="Italian"/>
    <s v="Airbnb"/>
    <n v="700"/>
    <s v="Train"/>
    <s v="Railway"/>
    <n v="80"/>
    <n v="780"/>
  </r>
  <r>
    <n v="24"/>
    <x v="17"/>
    <s v="Thailand"/>
    <x v="1"/>
    <d v="2023-09-15T00:00:00"/>
    <d v="2023-09-23T00:00:00"/>
    <n v="8"/>
    <s v="RajPatel"/>
    <n v="40"/>
    <x v="0"/>
    <s v="Indian"/>
    <s v="Hostel"/>
    <n v="400"/>
    <s v="Flight"/>
    <s v="Airway"/>
    <n v="500"/>
    <n v="900"/>
  </r>
  <r>
    <n v="25"/>
    <x v="5"/>
    <s v="France"/>
    <x v="0"/>
    <d v="2023-12-22T00:00:00"/>
    <d v="2023-12-28T00:00:00"/>
    <n v="6"/>
    <s v="LilyNguyen"/>
    <n v="24"/>
    <x v="1"/>
    <s v="Vietnamese"/>
    <s v="Hotel"/>
    <n v="1400"/>
    <s v="Train"/>
    <s v="Railway"/>
    <n v="100"/>
    <n v="1500"/>
  </r>
  <r>
    <n v="26"/>
    <x v="18"/>
    <s v="USA"/>
    <x v="2"/>
    <d v="2023-01-08T00:00:00"/>
    <d v="2023-10-08T00:00:00"/>
    <n v="9"/>
    <s v="DavidKim"/>
    <n v="34"/>
    <x v="0"/>
    <s v="Korean"/>
    <s v="Resort"/>
    <n v="2000"/>
    <s v="Flight"/>
    <s v="Airway"/>
    <n v="800"/>
    <n v="2800"/>
  </r>
  <r>
    <n v="27"/>
    <x v="11"/>
    <s v="Spain"/>
    <x v="0"/>
    <d v="2023-10-20T00:00:00"/>
    <d v="2023-10-28T00:00:00"/>
    <n v="8"/>
    <s v="MariaGarcia"/>
    <n v="31"/>
    <x v="1"/>
    <s v="Spanish"/>
    <s v="Hotel"/>
    <n v="1100"/>
    <s v="Train"/>
    <s v="Railway"/>
    <n v="150"/>
    <n v="1250"/>
  </r>
  <r>
    <n v="28"/>
    <x v="4"/>
    <s v="Japan"/>
    <x v="1"/>
    <d v="2022-10-05T00:00:00"/>
    <d v="2022-05-18T00:00:00"/>
    <n v="8"/>
    <s v="AliceSmith"/>
    <n v="30"/>
    <x v="1"/>
    <s v="American"/>
    <s v="Hotel"/>
    <n v="800"/>
    <s v="Flight"/>
    <s v="Airway"/>
    <n v="500"/>
    <n v="1300"/>
  </r>
  <r>
    <n v="29"/>
    <x v="1"/>
    <s v="Thailand"/>
    <x v="1"/>
    <d v="2022-06-15T00:00:00"/>
    <d v="2022-06-22T00:00:00"/>
    <n v="7"/>
    <s v="BobJohnson"/>
    <n v="45"/>
    <x v="0"/>
    <s v="Canadian"/>
    <s v="Hostel"/>
    <n v="200"/>
    <s v="Train"/>
    <s v="Railway"/>
    <n v="150"/>
    <n v="350"/>
  </r>
  <r>
    <n v="30"/>
    <x v="5"/>
    <s v="France"/>
    <x v="0"/>
    <d v="2022-02-07T00:00:00"/>
    <d v="2022-11-07T00:00:00"/>
    <n v="9"/>
    <s v="CharlieLee"/>
    <n v="25"/>
    <x v="0"/>
    <s v="Korean"/>
    <s v="Airbnb"/>
    <n v="600"/>
    <s v="Carrental"/>
    <s v="Roadway"/>
    <n v="300"/>
    <n v="900"/>
  </r>
  <r>
    <n v="31"/>
    <x v="6"/>
    <s v="Australia"/>
    <x v="3"/>
    <d v="2022-08-20T00:00:00"/>
    <d v="2022-02-09T00:00:00"/>
    <n v="13"/>
    <s v="EmmaDavis"/>
    <n v="28"/>
    <x v="1"/>
    <s v="British"/>
    <s v="Hotel"/>
    <n v="1000"/>
    <s v="Carrental"/>
    <s v="Roadway"/>
    <n v="500"/>
    <n v="1500"/>
  </r>
  <r>
    <n v="32"/>
    <x v="7"/>
    <s v="Brazil"/>
    <x v="4"/>
    <d v="2022-05-09T00:00:00"/>
    <d v="2022-09-14T00:00:00"/>
    <n v="9"/>
    <s v="OliviaMartin"/>
    <n v="33"/>
    <x v="1"/>
    <s v="Australian"/>
    <s v="Hostel"/>
    <n v="150"/>
    <s v="Bus"/>
    <s v="Roadway"/>
    <n v="50"/>
    <n v="200"/>
  </r>
  <r>
    <n v="33"/>
    <x v="19"/>
    <s v="Greece"/>
    <x v="0"/>
    <d v="2022-12-10T00:00:00"/>
    <d v="2022-10-20T00:00:00"/>
    <n v="8"/>
    <s v="HarryWilson"/>
    <n v="20"/>
    <x v="0"/>
    <s v="American"/>
    <s v="Airbnb"/>
    <n v="400"/>
    <s v="Flight"/>
    <s v="Airway"/>
    <n v="600"/>
    <n v="1000"/>
  </r>
  <r>
    <n v="34"/>
    <x v="20"/>
    <s v="Egypt"/>
    <x v="5"/>
    <d v="2022-08-11T00:00:00"/>
    <d v="2022-11-15T00:00:00"/>
    <n v="7"/>
    <s v="SophiaLee"/>
    <n v="37"/>
    <x v="1"/>
    <s v="Canadian"/>
    <s v="Hotel"/>
    <n v="700"/>
    <s v="Train"/>
    <s v="Railway"/>
    <n v="100"/>
    <n v="800"/>
  </r>
  <r>
    <n v="35"/>
    <x v="10"/>
    <s v="Mexico"/>
    <x v="2"/>
    <d v="2023-05-01T00:00:00"/>
    <d v="2023-01-15T00:00:00"/>
    <n v="10"/>
    <s v="JamesBrown"/>
    <n v="42"/>
    <x v="0"/>
    <s v="British"/>
    <s v="Airbnb"/>
    <n v="500"/>
    <s v="Flight"/>
    <s v="Airway"/>
    <n v="800"/>
    <n v="1300"/>
  </r>
  <r>
    <n v="36"/>
    <x v="16"/>
    <s v="Italy"/>
    <x v="0"/>
    <d v="2023-02-14T00:00:00"/>
    <d v="2023-02-20T00:00:00"/>
    <n v="6"/>
    <s v="MiaJohnson"/>
    <n v="31"/>
    <x v="1"/>
    <s v="American"/>
    <s v="Hostel"/>
    <n v="180"/>
    <s v="Train"/>
    <s v="Railway"/>
    <n v="120"/>
    <n v="300"/>
  </r>
  <r>
    <n v="37"/>
    <x v="11"/>
    <s v="Spain"/>
    <x v="0"/>
    <d v="2023-03-23T00:00:00"/>
    <d v="2023-03-31T00:00:00"/>
    <n v="8"/>
    <s v="WilliamDavis"/>
    <n v="27"/>
    <x v="0"/>
    <s v="Korean"/>
    <s v="Hotel"/>
    <n v="900"/>
    <s v="Carrental"/>
    <s v="Roadway"/>
    <n v="400"/>
    <n v="1300"/>
  </r>
  <r>
    <n v="38"/>
    <x v="21"/>
    <s v="Canada"/>
    <x v="2"/>
    <d v="2023-04-19T00:00:00"/>
    <d v="2023-04-26T00:00:00"/>
    <n v="7"/>
    <s v="AmeliaBrown"/>
    <n v="38"/>
    <x v="1"/>
    <s v="Australian"/>
    <s v="Airbnb"/>
    <n v="350"/>
    <s v="Bus"/>
    <s v="Roadway"/>
    <n v="75"/>
    <n v="425"/>
  </r>
  <r>
    <n v="39"/>
    <x v="5"/>
    <s v="France"/>
    <x v="0"/>
    <d v="2022-12-06T00:00:00"/>
    <d v="2022-06-19T00:00:00"/>
    <n v="7"/>
    <s v="MiaJohnson"/>
    <n v="25"/>
    <x v="1"/>
    <s v="American"/>
    <s v="Hotel"/>
    <n v="1400"/>
    <s v="Flight"/>
    <s v="Airway"/>
    <n v="600"/>
    <n v="2000"/>
  </r>
  <r>
    <n v="40"/>
    <x v="6"/>
    <s v="Australia"/>
    <x v="3"/>
    <d v="2023-02-01T00:00:00"/>
    <d v="2023-09-01T00:00:00"/>
    <n v="7"/>
    <s v="AdamLee"/>
    <n v="33"/>
    <x v="0"/>
    <s v="Canadian"/>
    <s v="Airbnb"/>
    <n v="800"/>
    <s v="Train"/>
    <s v="Railway"/>
    <n v="150"/>
    <n v="950"/>
  </r>
  <r>
    <n v="41"/>
    <x v="4"/>
    <s v="Japan"/>
    <x v="1"/>
    <d v="2022-10-12T00:00:00"/>
    <d v="2022-12-18T00:00:00"/>
    <n v="8"/>
    <s v="SarahWong"/>
    <n v="28"/>
    <x v="1"/>
    <s v="Chinese"/>
    <s v="Hostel"/>
    <n v="500"/>
    <s v="Flight"/>
    <s v="Airway"/>
    <n v="900"/>
    <n v="1400"/>
  </r>
  <r>
    <n v="42"/>
    <x v="10"/>
    <s v="Mexico"/>
    <x v="2"/>
    <d v="2023-01-07T00:00:00"/>
    <d v="2023-08-07T00:00:00"/>
    <n v="7"/>
    <s v="JohnSmith"/>
    <n v="45"/>
    <x v="0"/>
    <s v="American"/>
    <s v="Resort"/>
    <n v="2200"/>
    <s v="Flight"/>
    <s v="Airway"/>
    <n v="800"/>
    <n v="3000"/>
  </r>
  <r>
    <n v="43"/>
    <x v="7"/>
    <s v="Brazil"/>
    <x v="4"/>
    <d v="2022-11-20T00:00:00"/>
    <d v="2022-11-27T00:00:00"/>
    <n v="7"/>
    <s v="MariaSilva"/>
    <n v="30"/>
    <x v="1"/>
    <s v="Brazilian"/>
    <s v="Hotel"/>
    <n v="1200"/>
    <s v="Flight"/>
    <s v="Airway"/>
    <n v="700"/>
    <n v="1900"/>
  </r>
  <r>
    <n v="44"/>
    <x v="0"/>
    <s v="UK"/>
    <x v="0"/>
    <d v="2023-05-03T00:00:00"/>
    <d v="2023-12-03T00:00:00"/>
    <n v="7"/>
    <s v="PeterBrown"/>
    <n v="55"/>
    <x v="0"/>
    <s v="British"/>
    <s v="Airbnb"/>
    <n v="900"/>
    <s v="Train"/>
    <s v="Railway"/>
    <n v="100"/>
    <n v="1000"/>
  </r>
  <r>
    <n v="45"/>
    <x v="11"/>
    <s v="Spain"/>
    <x v="0"/>
    <d v="2023-08-18T00:00:00"/>
    <d v="2023-08-25T00:00:00"/>
    <n v="7"/>
    <s v="EmmaGarcia"/>
    <n v="27"/>
    <x v="1"/>
    <s v="Spanish"/>
    <s v="Hostel"/>
    <n v="600"/>
    <s v="Flight"/>
    <s v="Airway"/>
    <n v="600"/>
    <n v="1200"/>
  </r>
  <r>
    <n v="46"/>
    <x v="3"/>
    <s v="USA"/>
    <x v="2"/>
    <d v="2022-09-15T00:00:00"/>
    <d v="2022-09-22T00:00:00"/>
    <n v="7"/>
    <s v="MichaelDavis"/>
    <n v="41"/>
    <x v="0"/>
    <s v="American"/>
    <s v="Hotel"/>
    <n v="1500"/>
    <s v="Flight"/>
    <s v="Airway"/>
    <n v="500"/>
    <n v="2000"/>
  </r>
  <r>
    <n v="47"/>
    <x v="17"/>
    <s v="Thailand"/>
    <x v="1"/>
    <d v="2023-01-05T00:00:00"/>
    <d v="2023-07-05T00:00:00"/>
    <n v="6"/>
    <s v="NinaPatel"/>
    <n v="29"/>
    <x v="1"/>
    <s v="Indian"/>
    <s v="Airbnb"/>
    <n v="500"/>
    <s v="Bus"/>
    <s v="Roadway"/>
    <n v="50"/>
    <n v="550"/>
  </r>
  <r>
    <n v="48"/>
    <x v="21"/>
    <s v="Canada"/>
    <x v="2"/>
    <d v="2022-10-07T00:00:00"/>
    <d v="2022-07-17T00:00:00"/>
    <n v="7"/>
    <s v="KevinKim"/>
    <n v="24"/>
    <x v="0"/>
    <s v="Korean"/>
    <s v="Hostel"/>
    <n v="400"/>
    <s v="Train"/>
    <s v="Railway"/>
    <n v="150"/>
    <n v="550"/>
  </r>
  <r>
    <n v="49"/>
    <x v="8"/>
    <s v="Netherlands"/>
    <x v="0"/>
    <d v="2023-06-20T00:00:00"/>
    <d v="2023-06-28T00:00:00"/>
    <n v="8"/>
    <s v="LauravandenBerg"/>
    <n v="31"/>
    <x v="1"/>
    <s v="Dutch"/>
    <s v="Hotel"/>
    <n v="1100"/>
    <s v="Flight"/>
    <s v="Airway"/>
    <n v="700"/>
    <n v="1800"/>
  </r>
  <r>
    <n v="50"/>
    <x v="5"/>
    <s v="France"/>
    <x v="0"/>
    <d v="2023-08-15T00:00:00"/>
    <d v="2023-08-22T00:00:00"/>
    <n v="7"/>
    <s v="JenniferNguyen"/>
    <n v="31"/>
    <x v="1"/>
    <s v="Canadian"/>
    <s v="Hotel"/>
    <n v="1200"/>
    <s v="Train"/>
    <s v="Railway"/>
    <n v="300"/>
    <n v="1500"/>
  </r>
  <r>
    <n v="51"/>
    <x v="4"/>
    <s v="Japan"/>
    <x v="1"/>
    <d v="2023-10-10T00:00:00"/>
    <d v="2023-10-20T00:00:00"/>
    <n v="10"/>
    <s v="DavidKim"/>
    <n v="25"/>
    <x v="0"/>
    <s v="American"/>
    <s v="Hostel"/>
    <n v="500"/>
    <s v="Bus"/>
    <s v="Roadway"/>
    <n v="100"/>
    <n v="600"/>
  </r>
  <r>
    <n v="52"/>
    <x v="6"/>
    <s v="Australia"/>
    <x v="3"/>
    <d v="2023-05-11T00:00:00"/>
    <d v="2023-12-11T00:00:00"/>
    <n v="7"/>
    <s v="RachelLee"/>
    <n v="27"/>
    <x v="1"/>
    <s v="SouthKorean"/>
    <s v="Airbnb"/>
    <n v="900"/>
    <s v="Carrental"/>
    <s v="Roadway"/>
    <n v="200"/>
    <n v="1100"/>
  </r>
  <r>
    <n v="53"/>
    <x v="3"/>
    <s v="USA"/>
    <x v="2"/>
    <d v="2023-12-24T00:00:00"/>
    <d v="2023-12-31T00:00:00"/>
    <n v="7"/>
    <s v="JessicaWong"/>
    <n v="28"/>
    <x v="1"/>
    <s v="Canadian"/>
    <s v="Hotel"/>
    <n v="1400"/>
    <s v="Flight"/>
    <s v="Airway"/>
    <n v="800"/>
    <n v="2200"/>
  </r>
  <r>
    <n v="54"/>
    <x v="7"/>
    <s v="Brazil"/>
    <x v="4"/>
    <d v="2024-01-15T00:00:00"/>
    <d v="2024-01-24T00:00:00"/>
    <n v="9"/>
    <s v="FelipeAlmeida"/>
    <n v="30"/>
    <x v="0"/>
    <s v="Brazilian"/>
    <s v="Airbnb"/>
    <n v="800"/>
    <s v="Train"/>
    <s v="Railway"/>
    <n v="150"/>
    <n v="950"/>
  </r>
  <r>
    <n v="55"/>
    <x v="17"/>
    <s v="Thailand"/>
    <x v="1"/>
    <d v="2024-01-02T00:00:00"/>
    <d v="2024-09-02T00:00:00"/>
    <n v="8"/>
    <s v="NisaPatel"/>
    <n v="23"/>
    <x v="1"/>
    <s v="Indian"/>
    <s v="Hostel"/>
    <n v="400"/>
    <s v="Bus"/>
    <s v="Roadway"/>
    <n v="50"/>
    <n v="450"/>
  </r>
  <r>
    <n v="56"/>
    <x v="0"/>
    <s v="UK"/>
    <x v="0"/>
    <d v="2024-03-15T00:00:00"/>
    <d v="2024-03-23T00:00:00"/>
    <n v="8"/>
    <s v="BenSmith"/>
    <n v="35"/>
    <x v="0"/>
    <s v="British"/>
    <s v="Hotel"/>
    <n v="1000"/>
    <s v="Train"/>
    <s v="Railway"/>
    <n v="200"/>
    <n v="1200"/>
  </r>
  <r>
    <n v="57"/>
    <x v="11"/>
    <s v="Spain"/>
    <x v="0"/>
    <d v="2024-05-04T00:00:00"/>
    <d v="2024-04-13T00:00:00"/>
    <n v="8"/>
    <s v="LauraGomez"/>
    <n v="29"/>
    <x v="1"/>
    <s v="Spanish"/>
    <s v="Airbnb"/>
    <n v="700"/>
    <s v="Carrental"/>
    <s v="Roadway"/>
    <n v="250"/>
    <n v="950"/>
  </r>
  <r>
    <n v="58"/>
    <x v="22"/>
    <s v="SouthKorea"/>
    <x v="1"/>
    <d v="2024-10-05T00:00:00"/>
    <d v="2024-05-18T00:00:00"/>
    <n v="8"/>
    <s v="ParkMinWoo"/>
    <n v="27"/>
    <x v="0"/>
    <s v="SouthKorean"/>
    <s v="Hostel"/>
    <n v="500"/>
    <s v="Subway"/>
    <s v="Railway"/>
    <n v="20"/>
    <n v="520"/>
  </r>
  <r>
    <n v="59"/>
    <x v="23"/>
    <s v="USA"/>
    <x v="2"/>
    <d v="2024-06-20T00:00:00"/>
    <d v="2024-06-27T00:00:00"/>
    <n v="7"/>
    <s v="MichaelChen"/>
    <n v="26"/>
    <x v="0"/>
    <s v="Chinese"/>
    <s v="Hotel"/>
    <n v="1200"/>
    <s v="Carrental"/>
    <s v="Roadway"/>
    <n v="300"/>
    <n v="1500"/>
  </r>
  <r>
    <n v="60"/>
    <x v="16"/>
    <s v="Italy"/>
    <x v="0"/>
    <d v="2024-07-15T00:00:00"/>
    <d v="2024-07-23T00:00:00"/>
    <n v="8"/>
    <s v="SofiaRossi"/>
    <n v="33"/>
    <x v="1"/>
    <s v="Italian"/>
    <s v="Airbnb"/>
    <n v="800"/>
    <s v="Train"/>
    <s v="Railway"/>
    <n v="100"/>
    <n v="900"/>
  </r>
  <r>
    <n v="61"/>
    <x v="5"/>
    <s v="France"/>
    <x v="0"/>
    <d v="2022-12-07T00:00:00"/>
    <d v="2022-07-18T00:00:00"/>
    <n v="6"/>
    <s v="RachelSanders"/>
    <n v="35"/>
    <x v="1"/>
    <s v="American"/>
    <s v="Hotel"/>
    <n v="1200"/>
    <s v="Flight"/>
    <s v="Airway"/>
    <n v="800"/>
    <n v="2000"/>
  </r>
  <r>
    <n v="62"/>
    <x v="4"/>
    <s v="Japan"/>
    <x v="1"/>
    <d v="2022-03-09T00:00:00"/>
    <d v="2022-10-09T00:00:00"/>
    <n v="7"/>
    <s v="KenjiNakamura"/>
    <n v="28"/>
    <x v="0"/>
    <s v="Japanese"/>
    <s v="Hostel"/>
    <n v="400"/>
    <s v="Train"/>
    <s v="Railway"/>
    <n v="300"/>
    <n v="700"/>
  </r>
  <r>
    <n v="63"/>
    <x v="24"/>
    <s v="SouthAfrica"/>
    <x v="5"/>
    <d v="2023-07-01T00:00:00"/>
    <d v="2023-01-16T00:00:00"/>
    <n v="9"/>
    <s v="EmilyWatson"/>
    <n v="29"/>
    <x v="1"/>
    <s v="British"/>
    <s v="Vacationrental"/>
    <n v="800"/>
    <s v="Carrental"/>
    <s v="Roadway"/>
    <n v="200"/>
    <n v="1000"/>
  </r>
  <r>
    <n v="64"/>
    <x v="6"/>
    <s v="Australia"/>
    <x v="3"/>
    <d v="2023-06-23T00:00:00"/>
    <d v="2023-06-29T00:00:00"/>
    <n v="6"/>
    <s v="DavidLee"/>
    <n v="43"/>
    <x v="0"/>
    <s v="Australian"/>
    <s v="Hotel"/>
    <n v="1500"/>
    <s v="Flight"/>
    <s v="Airway"/>
    <n v="1200"/>
    <n v="2700"/>
  </r>
  <r>
    <n v="65"/>
    <x v="11"/>
    <s v="Spain"/>
    <x v="0"/>
    <d v="2023-08-18T00:00:00"/>
    <d v="2023-08-25T00:00:00"/>
    <n v="7"/>
    <s v="AnaRodriguez"/>
    <n v="31"/>
    <x v="1"/>
    <s v="Spanish"/>
    <s v="Vacationrental"/>
    <n v="900"/>
    <s v="Flight"/>
    <s v="Airway"/>
    <n v="700"/>
    <n v="1600"/>
  </r>
  <r>
    <n v="66"/>
    <x v="2"/>
    <s v="Indonesia"/>
    <x v="1"/>
    <d v="2024-01-02T00:00:00"/>
    <d v="2024-08-02T00:00:00"/>
    <n v="7"/>
    <s v="TomWilson"/>
    <n v="27"/>
    <x v="0"/>
    <s v="American"/>
    <s v="Resort"/>
    <n v="2200"/>
    <s v="Flight"/>
    <s v="Airway"/>
    <n v="1000"/>
    <n v="3200"/>
  </r>
  <r>
    <n v="67"/>
    <x v="5"/>
    <s v="France"/>
    <x v="0"/>
    <d v="2024-06-05T00:00:00"/>
    <d v="2024-12-05T00:00:00"/>
    <n v="6"/>
    <s v="OliviaGreen"/>
    <n v="39"/>
    <x v="1"/>
    <s v="French"/>
    <s v="Hotel"/>
    <n v="1100"/>
    <s v="Train"/>
    <s v="Railway"/>
    <n v="200"/>
    <n v="1300"/>
  </r>
  <r>
    <n v="68"/>
    <x v="3"/>
    <s v="USA"/>
    <x v="2"/>
    <d v="2024-07-20T00:00:00"/>
    <d v="2024-07-26T00:00:00"/>
    <n v="6"/>
    <s v="JamesChen"/>
    <n v="25"/>
    <x v="0"/>
    <s v="American"/>
    <s v="Vacationrental"/>
    <n v="1000"/>
    <s v="Flight"/>
    <s v="Airway"/>
    <n v="800"/>
    <n v="1800"/>
  </r>
  <r>
    <n v="69"/>
    <x v="17"/>
    <s v="Thailand"/>
    <x v="1"/>
    <d v="2024-08-09T00:00:00"/>
    <d v="2024-09-16T00:00:00"/>
    <n v="8"/>
    <s v="LilaPatel"/>
    <n v="33"/>
    <x v="1"/>
    <s v="Indian"/>
    <s v="Hostel"/>
    <n v="300"/>
    <s v="Flight"/>
    <s v="Airway"/>
    <n v="700"/>
    <n v="1000"/>
  </r>
  <r>
    <n v="70"/>
    <x v="16"/>
    <s v="Italy"/>
    <x v="0"/>
    <d v="2025-02-14T00:00:00"/>
    <d v="2025-02-20T00:00:00"/>
    <n v="6"/>
    <s v="MarcoRossi"/>
    <n v="41"/>
    <x v="0"/>
    <s v="Italian"/>
    <s v="Hotel"/>
    <n v="1300"/>
    <s v="Train"/>
    <s v="Railway"/>
    <n v="100"/>
    <n v="1400"/>
  </r>
  <r>
    <n v="71"/>
    <x v="2"/>
    <s v="Indonesia"/>
    <x v="1"/>
    <d v="2025-05-21T00:00:00"/>
    <d v="2025-05-29T00:00:00"/>
    <n v="8"/>
    <s v="SarahBrown"/>
    <n v="37"/>
    <x v="1"/>
    <s v="British"/>
    <s v="Resort"/>
    <n v="1800"/>
    <s v="Flight"/>
    <s v="Airway"/>
    <n v="1000"/>
    <n v="2800"/>
  </r>
  <r>
    <n v="73"/>
    <x v="2"/>
    <s v="Indonesia"/>
    <x v="1"/>
    <d v="2022-05-08T00:00:00"/>
    <d v="2022-12-08T00:00:00"/>
    <n v="7"/>
    <s v="SarahLee"/>
    <n v="35"/>
    <x v="1"/>
    <s v="SouthKorean"/>
    <s v="Resort"/>
    <n v="500"/>
    <s v="Flight"/>
    <s v="Airway"/>
    <n v="800"/>
    <n v="1300"/>
  </r>
  <r>
    <n v="74"/>
    <x v="4"/>
    <s v="Japan"/>
    <x v="1"/>
    <d v="2023-01-01T00:00:00"/>
    <d v="2023-09-01T00:00:00"/>
    <n v="8"/>
    <s v="AlexKim"/>
    <n v="29"/>
    <x v="0"/>
    <s v="American"/>
    <s v="Hotel"/>
    <n v="1000"/>
    <s v="Train"/>
    <s v="Railway"/>
    <n v="200"/>
    <n v="1200"/>
  </r>
  <r>
    <n v="75"/>
    <x v="10"/>
    <s v="Mexico"/>
    <x v="2"/>
    <d v="2023-04-15T00:00:00"/>
    <d v="2023-04-22T00:00:00"/>
    <n v="7"/>
    <s v="MariaHernandez"/>
    <n v="42"/>
    <x v="1"/>
    <s v="Mexican"/>
    <s v="Resort"/>
    <n v="800"/>
    <s v="Flight"/>
    <s v="Airway"/>
    <n v="500"/>
    <n v="1300"/>
  </r>
  <r>
    <n v="76"/>
    <x v="5"/>
    <s v="France"/>
    <x v="0"/>
    <d v="2023-07-06T00:00:00"/>
    <d v="2023-06-14T00:00:00"/>
    <n v="7"/>
    <s v="JohnSmith"/>
    <n v="46"/>
    <x v="0"/>
    <s v="British"/>
    <s v="Hotel"/>
    <n v="1200"/>
    <s v="Flight"/>
    <s v="Airway"/>
    <n v="700"/>
    <n v="1900"/>
  </r>
  <r>
    <n v="77"/>
    <x v="24"/>
    <s v="SouthAfrica"/>
    <x v="5"/>
    <d v="2023-01-09T00:00:00"/>
    <d v="2023-10-09T00:00:00"/>
    <n v="9"/>
    <s v="MarkJohnson"/>
    <n v="31"/>
    <x v="0"/>
    <s v="SouthAfrican"/>
    <s v="Guesthouse"/>
    <n v="400"/>
    <s v="Car"/>
    <s v="Roadway"/>
    <n v="300"/>
    <n v="700"/>
  </r>
  <r>
    <n v="78"/>
    <x v="2"/>
    <s v="Indonesia"/>
    <x v="1"/>
    <d v="2023-12-11T00:00:00"/>
    <d v="2023-11-19T00:00:00"/>
    <n v="7"/>
    <s v="AmandaChen"/>
    <n v="25"/>
    <x v="1"/>
    <s v="Taiwanese"/>
    <s v="Resort"/>
    <n v="600"/>
    <s v="Flight"/>
    <s v="Airway"/>
    <n v="700"/>
    <n v="1300"/>
  </r>
  <r>
    <n v="79"/>
    <x v="6"/>
    <s v="Australia"/>
    <x v="3"/>
    <d v="2024-05-02T00:00:00"/>
    <d v="2024-12-02T00:00:00"/>
    <n v="7"/>
    <s v="DavidLee"/>
    <n v="38"/>
    <x v="0"/>
    <s v="Australian"/>
    <s v="Hotel"/>
    <n v="900"/>
    <s v="Flight"/>
    <s v="Airway"/>
    <n v="600"/>
    <n v="1500"/>
  </r>
  <r>
    <n v="80"/>
    <x v="17"/>
    <s v="Thailand"/>
    <x v="1"/>
    <d v="2024-05-15T00:00:00"/>
    <d v="2024-05-22T00:00:00"/>
    <n v="7"/>
    <s v="NanaKwon"/>
    <n v="27"/>
    <x v="1"/>
    <s v="Korean"/>
    <s v="Hotel"/>
    <n v="400"/>
    <s v="Flight"/>
    <s v="Airway"/>
    <n v="400"/>
    <n v="800"/>
  </r>
  <r>
    <n v="81"/>
    <x v="3"/>
    <s v="USA"/>
    <x v="2"/>
    <d v="2024-08-20T00:00:00"/>
    <d v="2024-08-27T00:00:00"/>
    <n v="7"/>
    <s v="TomHanks"/>
    <n v="60"/>
    <x v="0"/>
    <s v="American"/>
    <s v="Hotel"/>
    <n v="1500"/>
    <s v="Flight"/>
    <s v="Airway"/>
    <n v="1000"/>
    <n v="2500"/>
  </r>
  <r>
    <n v="82"/>
    <x v="1"/>
    <s v="Thailand"/>
    <x v="1"/>
    <d v="2025-01-01T00:00:00"/>
    <d v="2025-08-01T00:00:00"/>
    <n v="7"/>
    <s v="EmmaWatson"/>
    <n v="32"/>
    <x v="1"/>
    <s v="British"/>
    <s v="Resort"/>
    <n v="700"/>
    <s v="Flight"/>
    <s v="Airway"/>
    <n v="800"/>
    <n v="1500"/>
  </r>
  <r>
    <n v="83"/>
    <x v="16"/>
    <s v="Italy"/>
    <x v="0"/>
    <d v="2025-04-15T00:00:00"/>
    <d v="2025-04-22T00:00:00"/>
    <n v="7"/>
    <s v="JamesKim"/>
    <n v="41"/>
    <x v="0"/>
    <s v="American"/>
    <s v="Hotel"/>
    <n v="100"/>
    <s v="Bus"/>
    <s v="Roadway"/>
    <n v="50"/>
    <n v="150"/>
  </r>
  <r>
    <n v="84"/>
    <x v="5"/>
    <s v="France"/>
    <x v="0"/>
    <d v="2021-06-15T00:00:00"/>
    <d v="2021-06-20T00:00:00"/>
    <n v="6"/>
    <s v="JohnSmith"/>
    <n v="35"/>
    <x v="0"/>
    <s v="American"/>
    <s v="Hotel"/>
    <n v="800"/>
    <s v="Flight"/>
    <s v="Airway"/>
    <n v="500"/>
    <n v="1300"/>
  </r>
  <r>
    <n v="85"/>
    <x v="4"/>
    <s v="Japan"/>
    <x v="1"/>
    <d v="2021-01-07T00:00:00"/>
    <d v="2021-10-07T00:00:00"/>
    <n v="10"/>
    <s v="SarahLee"/>
    <n v="28"/>
    <x v="1"/>
    <s v="Korean"/>
    <s v="Airbnb"/>
    <n v="500"/>
    <s v="Train"/>
    <s v="Railway"/>
    <n v="300"/>
    <n v="800"/>
  </r>
  <r>
    <n v="86"/>
    <x v="2"/>
    <s v="Indonesia"/>
    <x v="1"/>
    <d v="2021-10-08T00:00:00"/>
    <d v="2021-08-20T00:00:00"/>
    <n v="11"/>
    <s v="MariaGarcia"/>
    <n v="42"/>
    <x v="1"/>
    <s v="Spanish"/>
    <s v="Resort"/>
    <n v="1200"/>
    <s v="Flight"/>
    <s v="Airway"/>
    <n v="700"/>
    <n v="1900"/>
  </r>
  <r>
    <n v="87"/>
    <x v="6"/>
    <s v="Australia"/>
    <x v="3"/>
    <d v="2021-01-09T00:00:00"/>
    <d v="2021-10-09T00:00:00"/>
    <n v="9"/>
    <s v="DavidLee"/>
    <n v="45"/>
    <x v="0"/>
    <s v="Australian"/>
    <s v="Hotel"/>
    <n v="900"/>
    <s v="Flight"/>
    <s v="Airway"/>
    <n v="600"/>
    <n v="1500"/>
  </r>
  <r>
    <n v="88"/>
    <x v="3"/>
    <s v="USA"/>
    <x v="2"/>
    <d v="2021-10-15T00:00:00"/>
    <d v="2021-10-20T00:00:00"/>
    <n v="6"/>
    <s v="EmilyDavis"/>
    <n v="31"/>
    <x v="1"/>
    <s v="American"/>
    <s v="Airbnb"/>
    <n v="700"/>
    <s v="Carrental"/>
    <s v="Roadway"/>
    <n v="200"/>
    <n v="900"/>
  </r>
  <r>
    <n v="89"/>
    <x v="0"/>
    <s v="UK"/>
    <x v="0"/>
    <d v="2021-11-20T00:00:00"/>
    <d v="2021-11-30T00:00:00"/>
    <n v="11"/>
    <s v="JamesWilson"/>
    <n v="29"/>
    <x v="0"/>
    <s v="British"/>
    <s v="Hostel"/>
    <n v="300"/>
    <s v="Flight"/>
    <s v="Airway"/>
    <n v="400"/>
    <n v="700"/>
  </r>
  <r>
    <n v="90"/>
    <x v="9"/>
    <s v="UnitedArabEmirates"/>
    <x v="1"/>
    <d v="2022-01-01T00:00:00"/>
    <d v="2022-08-01T00:00:00"/>
    <n v="8"/>
    <s v="FatimaAhmed"/>
    <n v="24"/>
    <x v="1"/>
    <s v="Emirati"/>
    <s v="Hotel"/>
    <n v="1000"/>
    <s v="Flight"/>
    <s v="Airway"/>
    <n v="800"/>
    <n v="1800"/>
  </r>
  <r>
    <n v="91"/>
    <x v="17"/>
    <s v="Thailand"/>
    <x v="1"/>
    <d v="2022-02-14T00:00:00"/>
    <d v="2022-02-20T00:00:00"/>
    <n v="7"/>
    <s v="LiamNguyen"/>
    <n v="26"/>
    <x v="0"/>
    <s v="Vietnamese"/>
    <s v="Airbnb"/>
    <n v="400"/>
    <s v="Train"/>
    <s v="Railway"/>
    <n v="100"/>
    <n v="500"/>
  </r>
  <r>
    <n v="92"/>
    <x v="16"/>
    <s v="Italy"/>
    <x v="0"/>
    <d v="2022-10-03T00:00:00"/>
    <d v="2022-03-20T00:00:00"/>
    <n v="11"/>
    <s v="GiuliaRossi"/>
    <n v="30"/>
    <x v="1"/>
    <s v="Italian"/>
    <s v="Hostel"/>
    <n v="200"/>
    <s v="Flight"/>
    <s v="Airway"/>
    <n v="350"/>
    <n v="550"/>
  </r>
  <r>
    <n v="93"/>
    <x v="2"/>
    <s v="Indonesia"/>
    <x v="1"/>
    <d v="2022-04-15T00:00:00"/>
    <d v="2022-04-25T00:00:00"/>
    <n v="11"/>
    <s v="PutraWijaya"/>
    <n v="33"/>
    <x v="0"/>
    <s v="Indonesian"/>
    <s v="Villa"/>
    <n v="1500"/>
    <s v="Carrental"/>
    <s v="Roadway"/>
    <n v="300"/>
    <n v="1800"/>
  </r>
  <r>
    <n v="94"/>
    <x v="22"/>
    <s v="SouthKorea"/>
    <x v="1"/>
    <d v="2022-01-05T00:00:00"/>
    <d v="2022-10-05T00:00:00"/>
    <n v="10"/>
    <s v="KimMin/ji"/>
    <n v="27"/>
    <x v="1"/>
    <s v="Korean"/>
    <s v="Hotel"/>
    <n v="800"/>
    <s v="Train"/>
    <s v="Railway"/>
    <n v="150"/>
    <n v="950"/>
  </r>
  <r>
    <n v="95"/>
    <x v="5"/>
    <s v="France"/>
    <x v="0"/>
    <d v="2022-06-15T00:00:00"/>
    <d v="2022-06-20T00:00:00"/>
    <n v="5"/>
    <s v="JohnSmith"/>
    <n v="35"/>
    <x v="0"/>
    <s v="USA"/>
    <s v="Hotel"/>
    <n v="500"/>
    <s v="Flight"/>
    <s v="Airway"/>
    <n v="800"/>
    <n v="1300"/>
  </r>
  <r>
    <n v="96"/>
    <x v="4"/>
    <s v="Japan"/>
    <x v="1"/>
    <d v="2022-01-09T00:00:00"/>
    <d v="2022-10-09T00:00:00"/>
    <n v="9"/>
    <s v="EmilyJohnson"/>
    <n v="28"/>
    <x v="1"/>
    <s v="Canada"/>
    <s v="Airbnb"/>
    <n v="400"/>
    <s v="Train"/>
    <s v="Railway"/>
    <n v="200"/>
    <n v="600"/>
  </r>
  <r>
    <n v="97"/>
    <x v="6"/>
    <s v="Australia"/>
    <x v="3"/>
    <d v="2022-11-23T00:00:00"/>
    <d v="2022-02-12T00:00:00"/>
    <n v="9"/>
    <s v="DavidLee"/>
    <n v="45"/>
    <x v="0"/>
    <s v="SouthKorea"/>
    <s v="Hostel"/>
    <n v="200"/>
    <s v="Flight"/>
    <s v="Airway"/>
    <n v="1200"/>
    <n v="1400"/>
  </r>
  <r>
    <n v="98"/>
    <x v="0"/>
    <s v="UK"/>
    <x v="0"/>
    <d v="2023-02-14T00:00:00"/>
    <d v="2023-02-19T00:00:00"/>
    <n v="5"/>
    <s v="SarahBrown"/>
    <n v="37"/>
    <x v="1"/>
    <s v="UK"/>
    <s v="Hotel"/>
    <n v="600"/>
    <s v="Flight"/>
    <s v="Airway"/>
    <n v="700"/>
    <n v="1300"/>
  </r>
  <r>
    <n v="99"/>
    <x v="3"/>
    <s v="USA"/>
    <x v="2"/>
    <d v="2023-08-05T00:00:00"/>
    <d v="2023-05-14T00:00:00"/>
    <n v="6"/>
    <s v="MichaelWong"/>
    <n v="50"/>
    <x v="0"/>
    <s v="China"/>
    <s v="Airbnb"/>
    <n v="800"/>
    <s v="Carrental"/>
    <s v="Roadway"/>
    <n v="300"/>
    <n v="1100"/>
  </r>
  <r>
    <n v="100"/>
    <x v="16"/>
    <s v="Italy"/>
    <x v="0"/>
    <d v="2023-08-20T00:00:00"/>
    <d v="2023-08-27T00:00:00"/>
    <n v="7"/>
    <s v="JessicaChen"/>
    <n v="31"/>
    <x v="1"/>
    <s v="Taiwan"/>
    <s v="Hotel"/>
    <n v="700"/>
    <s v="Flight"/>
    <s v="Airway"/>
    <n v="900"/>
    <n v="1600"/>
  </r>
  <r>
    <n v="101"/>
    <x v="17"/>
    <s v="Thailand"/>
    <x v="1"/>
    <d v="2023-12-11T00:00:00"/>
    <d v="2023-11-20T00:00:00"/>
    <n v="8"/>
    <s v="KenTanaka"/>
    <n v="42"/>
    <x v="0"/>
    <s v="Japan"/>
    <s v="Hostel"/>
    <n v="300"/>
    <s v="Train"/>
    <s v="Railway"/>
    <n v="100"/>
    <n v="400"/>
  </r>
  <r>
    <n v="102"/>
    <x v="24"/>
    <s v="SouthAfrica"/>
    <x v="5"/>
    <d v="2024-06-01T00:00:00"/>
    <d v="2024-01-14T00:00:00"/>
    <n v="8"/>
    <s v="MariaGarcia"/>
    <n v="27"/>
    <x v="1"/>
    <s v="Spain"/>
    <s v="Airbnb"/>
    <n v="500"/>
    <s v="Flight"/>
    <s v="Airway"/>
    <n v="1500"/>
    <n v="2000"/>
  </r>
  <r>
    <n v="103"/>
    <x v="7"/>
    <s v="Brazil"/>
    <x v="4"/>
    <d v="2024-03-04T00:00:00"/>
    <d v="2024-10-04T00:00:00"/>
    <n v="7"/>
    <s v="RodrigoOliveira"/>
    <n v="33"/>
    <x v="0"/>
    <s v="Brazil"/>
    <s v="Hotel"/>
    <n v="900"/>
    <s v="Carrental"/>
    <s v="Roadway"/>
    <n v="400"/>
    <n v="1300"/>
  </r>
  <r>
    <n v="104"/>
    <x v="2"/>
    <s v="Indonesia"/>
    <x v="1"/>
    <d v="2024-07-22T00:00:00"/>
    <d v="2024-07-28T00:00:00"/>
    <n v="6"/>
    <s v="OliviaKim"/>
    <n v="29"/>
    <x v="1"/>
    <s v="SouthKorea"/>
    <s v="Villa"/>
    <n v="1200"/>
    <s v="Flight"/>
    <s v="Airway"/>
    <n v="1000"/>
    <n v="2200"/>
  </r>
  <r>
    <n v="105"/>
    <x v="8"/>
    <s v="Netherlands"/>
    <x v="0"/>
    <d v="2024-10-10T00:00:00"/>
    <d v="2024-10-17T00:00:00"/>
    <n v="7"/>
    <s v="RobertMueller"/>
    <n v="41"/>
    <x v="0"/>
    <s v="Germany"/>
    <s v="Hotel"/>
    <n v="600"/>
    <s v="Train"/>
    <s v="Railway"/>
    <n v="150"/>
    <n v="750"/>
  </r>
  <r>
    <n v="106"/>
    <x v="5"/>
    <s v="France"/>
    <x v="0"/>
    <d v="2022-05-15T00:00:00"/>
    <d v="2022-05-20T00:00:00"/>
    <n v="5"/>
    <s v="JohnSmith"/>
    <n v="35"/>
    <x v="0"/>
    <s v="USA"/>
    <s v="Hotel"/>
    <n v="1000"/>
    <s v="Flight"/>
    <s v="Airway"/>
    <n v="800"/>
    <n v="1800"/>
  </r>
  <r>
    <n v="107"/>
    <x v="4"/>
    <s v="Japan"/>
    <x v="1"/>
    <d v="2022-01-09T00:00:00"/>
    <d v="2022-10-09T00:00:00"/>
    <n v="9"/>
    <s v="SarahLee"/>
    <n v="28"/>
    <x v="1"/>
    <s v="SouthKorea"/>
    <s v="Airbnb"/>
    <n v="800"/>
    <s v="Train"/>
    <s v="Railway"/>
    <n v="500"/>
    <n v="1300"/>
  </r>
  <r>
    <n v="108"/>
    <x v="3"/>
    <s v="USA"/>
    <x v="2"/>
    <d v="2022-06-20T00:00:00"/>
    <d v="2022-06-25T00:00:00"/>
    <n v="5"/>
    <s v="MichaelWong"/>
    <n v="42"/>
    <x v="0"/>
    <s v="HongKong"/>
    <s v="Hotel"/>
    <n v="1200"/>
    <s v="Carrental"/>
    <s v="Roadway"/>
    <n v="200"/>
    <n v="1400"/>
  </r>
  <r>
    <n v="109"/>
    <x v="2"/>
    <s v="Indonesia"/>
    <x v="1"/>
    <d v="2022-12-08T00:00:00"/>
    <d v="2022-08-20T00:00:00"/>
    <n v="8"/>
    <s v="LisaChen"/>
    <n v="30"/>
    <x v="1"/>
    <s v="Taiwan"/>
    <s v="Resort"/>
    <n v="1500"/>
    <s v="Flight"/>
    <s v="Airway"/>
    <n v="1200"/>
    <n v="2700"/>
  </r>
  <r>
    <n v="110"/>
    <x v="6"/>
    <s v="Australia"/>
    <x v="3"/>
    <d v="2022-01-07T00:00:00"/>
    <d v="2022-10-07T00:00:00"/>
    <n v="9"/>
    <s v="DavidKim"/>
    <n v="26"/>
    <x v="0"/>
    <s v="Canada"/>
    <s v="Hostel"/>
    <n v="300"/>
    <s v="Flight"/>
    <s v="Airway"/>
    <n v="900"/>
    <n v="1200"/>
  </r>
  <r>
    <n v="111"/>
    <x v="0"/>
    <s v="UK"/>
    <x v="0"/>
    <d v="2022-10-06T00:00:00"/>
    <d v="2022-06-15T00:00:00"/>
    <n v="5"/>
    <s v="EmilyWong"/>
    <n v="38"/>
    <x v="1"/>
    <s v="UnitedKingdom"/>
    <s v="Hotel"/>
    <n v="900"/>
    <s v="Train"/>
    <s v="Railway"/>
    <n v="150"/>
    <n v="1050"/>
  </r>
  <r>
    <n v="112"/>
    <x v="1"/>
    <s v="Thailand"/>
    <x v="1"/>
    <d v="2022-05-09T00:00:00"/>
    <d v="2022-12-09T00:00:00"/>
    <n v="7"/>
    <s v="MarkTan"/>
    <n v="45"/>
    <x v="0"/>
    <s v="Singapore"/>
    <s v="Villa"/>
    <n v="2000"/>
    <s v="Flight"/>
    <s v="Airway"/>
    <n v="700"/>
    <n v="2700"/>
  </r>
  <r>
    <n v="113"/>
    <x v="16"/>
    <s v="Italy"/>
    <x v="0"/>
    <d v="2022-01-05T00:00:00"/>
    <d v="2022-08-05T00:00:00"/>
    <n v="7"/>
    <s v="EmmaLee"/>
    <n v="31"/>
    <x v="1"/>
    <s v="Italy"/>
    <s v="Hotel"/>
    <n v="1100"/>
    <s v="Train"/>
    <s v="Railway"/>
    <n v="250"/>
    <n v="1350"/>
  </r>
  <r>
    <n v="114"/>
    <x v="19"/>
    <s v="Greece"/>
    <x v="0"/>
    <d v="2022-07-15T00:00:00"/>
    <d v="2022-07-22T00:00:00"/>
    <n v="7"/>
    <s v="GeorgeChen"/>
    <n v="27"/>
    <x v="0"/>
    <s v="Greece"/>
    <s v="Airbnb"/>
    <n v="1000"/>
    <s v="Ferry"/>
    <s v="Waterway"/>
    <n v="150"/>
    <n v="1150"/>
  </r>
  <r>
    <n v="115"/>
    <x v="9"/>
    <s v="UnitedArabEmirates"/>
    <x v="1"/>
    <d v="2022-08-25T00:00:00"/>
    <d v="2022-08-30T00:00:00"/>
    <n v="5"/>
    <s v="SophiaKim"/>
    <n v="29"/>
    <x v="1"/>
    <s v="UnitedArabEmirates"/>
    <s v="Hotel"/>
    <n v="1500"/>
    <s v="Carrental"/>
    <s v="Roadway"/>
    <n v="300"/>
    <n v="1800"/>
  </r>
  <r>
    <n v="116"/>
    <x v="25"/>
    <s v="Cambodia"/>
    <x v="1"/>
    <d v="2022-10-09T00:00:00"/>
    <d v="2022-09-15T00:00:00"/>
    <n v="5"/>
    <s v="AlexNg"/>
    <n v="33"/>
    <x v="0"/>
    <s v="Cambodia"/>
    <s v="Hostel"/>
    <n v="200"/>
    <s v="Flight"/>
    <s v="Airway"/>
    <n v="500"/>
    <n v="700"/>
  </r>
  <r>
    <n v="117"/>
    <x v="4"/>
    <s v="Japan"/>
    <x v="1"/>
    <d v="2022-05-02T00:00:00"/>
    <d v="2022-02-14T00:00:00"/>
    <n v="9"/>
    <s v="AliceSmith"/>
    <n v="32"/>
    <x v="1"/>
    <s v="American"/>
    <s v="Hotel"/>
    <n v="1000"/>
    <s v="Flight"/>
    <s v="Airway"/>
    <n v="700"/>
    <n v="1700"/>
  </r>
  <r>
    <n v="118"/>
    <x v="5"/>
    <s v="France"/>
    <x v="0"/>
    <d v="2022-03-15T00:00:00"/>
    <d v="2022-03-22T00:00:00"/>
    <n v="7"/>
    <s v="BobJohnson"/>
    <n v="47"/>
    <x v="0"/>
    <s v="Canadian"/>
    <s v="Hotel"/>
    <n v="1200"/>
    <s v="Train"/>
    <s v="Railway"/>
    <n v="500"/>
    <n v="1700"/>
  </r>
  <r>
    <n v="119"/>
    <x v="6"/>
    <s v="Australia"/>
    <x v="3"/>
    <d v="2022-01-05T00:00:00"/>
    <d v="2022-12-05T00:00:00"/>
    <n v="11"/>
    <s v="CindyChen"/>
    <n v="26"/>
    <x v="1"/>
    <s v="Chinese"/>
    <s v="Airbnb"/>
    <n v="800"/>
    <s v="Flight"/>
    <s v="Airway"/>
    <n v="1000"/>
    <n v="1800"/>
  </r>
  <r>
    <n v="120"/>
    <x v="16"/>
    <s v="Italy"/>
    <x v="0"/>
    <d v="2022-10-06T00:00:00"/>
    <d v="2022-06-17T00:00:00"/>
    <n v="7"/>
    <s v="DavidLee"/>
    <n v="38"/>
    <x v="0"/>
    <s v="Korean"/>
    <s v="Hotel"/>
    <n v="900"/>
    <s v="Train"/>
    <s v="Railway"/>
    <n v="400"/>
    <n v="1300"/>
  </r>
  <r>
    <n v="121"/>
    <x v="2"/>
    <s v="Indonesia"/>
    <x v="1"/>
    <d v="2022-07-20T00:00:00"/>
    <d v="2022-07-30T00:00:00"/>
    <n v="10"/>
    <s v="EmilyKim"/>
    <n v="29"/>
    <x v="1"/>
    <s v="Korean"/>
    <s v="Hostel"/>
    <n v="500"/>
    <s v="Flight"/>
    <s v="Airway"/>
    <n v="800"/>
    <n v="1300"/>
  </r>
  <r>
    <n v="122"/>
    <x v="10"/>
    <s v="Mexico"/>
    <x v="2"/>
    <d v="2022-08-08T00:00:00"/>
    <d v="2022-08-16T00:00:00"/>
    <n v="8"/>
    <s v="FrankLi"/>
    <n v="41"/>
    <x v="0"/>
    <s v="American"/>
    <s v="Hotel"/>
    <n v="1300"/>
    <s v="Flight"/>
    <s v="Airway"/>
    <n v="600"/>
    <n v="1900"/>
  </r>
  <r>
    <n v="123"/>
    <x v="26"/>
    <s v="Greece"/>
    <x v="0"/>
    <d v="2022-09-20T00:00:00"/>
    <d v="2022-09-30T00:00:00"/>
    <n v="10"/>
    <s v="GinaLee"/>
    <n v="35"/>
    <x v="1"/>
    <s v="Korean"/>
    <s v="Airbnb"/>
    <n v="700"/>
    <s v="Flight"/>
    <s v="Airway"/>
    <n v="900"/>
    <n v="1600"/>
  </r>
  <r>
    <n v="124"/>
    <x v="4"/>
    <s v="Japan"/>
    <x v="1"/>
    <d v="2022-05-10T00:00:00"/>
    <d v="2022-10-13T00:00:00"/>
    <n v="8"/>
    <s v="HenryKim"/>
    <n v="24"/>
    <x v="0"/>
    <s v="Korean"/>
    <s v="Hotel"/>
    <n v="1200"/>
    <s v="Flight"/>
    <s v="Airway"/>
    <n v="700"/>
    <n v="1900"/>
  </r>
  <r>
    <n v="125"/>
    <x v="6"/>
    <s v="Australia"/>
    <x v="3"/>
    <d v="2022-11-11T00:00:00"/>
    <d v="2022-11-21T00:00:00"/>
    <n v="10"/>
    <s v="IsabellaChen"/>
    <n v="30"/>
    <x v="1"/>
    <s v="Chinese"/>
    <s v="Airbnb"/>
    <n v="900"/>
    <s v="Flight"/>
    <s v="Airway"/>
    <n v="1000"/>
    <n v="1900"/>
  </r>
  <r>
    <n v="126"/>
    <x v="5"/>
    <s v="France"/>
    <x v="0"/>
    <d v="2022-12-24T00:00:00"/>
    <d v="2023-01-01T00:00:00"/>
    <n v="8"/>
    <s v="JackSmith"/>
    <n v="28"/>
    <x v="0"/>
    <s v="American"/>
    <s v="Hostel"/>
    <n v="400"/>
    <s v="Flight"/>
    <s v="Airway"/>
    <n v="700"/>
    <n v="1100"/>
  </r>
  <r>
    <n v="127"/>
    <x v="2"/>
    <s v="Indonesia"/>
    <x v="1"/>
    <d v="2023-10-02T00:00:00"/>
    <d v="2024-02-18T00:00:00"/>
    <n v="8"/>
    <s v="KatieJohnson"/>
    <n v="33"/>
    <x v="1"/>
    <s v="Canadian"/>
    <s v="Hotel"/>
    <n v="800"/>
    <s v="Flight"/>
    <s v="Airway"/>
    <n v="800"/>
    <n v="1600"/>
  </r>
  <r>
    <n v="128"/>
    <x v="5"/>
    <s v="France"/>
    <x v="0"/>
    <d v="2023-01-05T00:00:00"/>
    <d v="2023-07-05T00:00:00"/>
    <n v="6"/>
    <s v="JohnDoe"/>
    <n v="35"/>
    <x v="0"/>
    <s v="American"/>
    <s v="Hotel"/>
    <n v="5000"/>
    <s v="Flight"/>
    <s v="Airway"/>
    <n v="1000"/>
    <n v="6000"/>
  </r>
  <r>
    <n v="129"/>
    <x v="4"/>
    <s v="Japan"/>
    <x v="1"/>
    <d v="2023-05-15T00:00:00"/>
    <d v="2023-05-22T00:00:00"/>
    <n v="7"/>
    <s v="JaneSmith"/>
    <n v="28"/>
    <x v="1"/>
    <s v="British"/>
    <s v="Airbnb"/>
    <n v="7000"/>
    <s v="Train"/>
    <s v="Railway"/>
    <n v="1500"/>
    <n v="8500"/>
  </r>
  <r>
    <n v="130"/>
    <x v="24"/>
    <s v="SouthAfrica"/>
    <x v="5"/>
    <d v="2023-01-06T00:00:00"/>
    <d v="2023-10-06T00:00:00"/>
    <n v="9"/>
    <s v="MichaelJohnson"/>
    <n v="45"/>
    <x v="0"/>
    <s v="SouthAfrican"/>
    <s v="Hostel"/>
    <n v="3000"/>
    <s v="Car"/>
    <s v="Roadway"/>
    <n v="2000"/>
    <n v="5000"/>
  </r>
  <r>
    <n v="131"/>
    <x v="6"/>
    <s v="Australia"/>
    <x v="3"/>
    <d v="2023-06-15T00:00:00"/>
    <d v="2023-06-21T00:00:00"/>
    <n v="6"/>
    <s v="SarahLee"/>
    <n v="31"/>
    <x v="1"/>
    <s v="Australian"/>
    <s v="Hotel"/>
    <n v="6000"/>
    <s v="Flight"/>
    <s v="Airway"/>
    <n v="300"/>
    <n v="6300"/>
  </r>
  <r>
    <n v="132"/>
    <x v="16"/>
    <s v="Italy"/>
    <x v="0"/>
    <d v="2023-01-07T00:00:00"/>
    <d v="2023-08-07T00:00:00"/>
    <n v="7"/>
    <s v="DavidKim"/>
    <n v="42"/>
    <x v="0"/>
    <s v="Korean"/>
    <s v="Airbnb"/>
    <n v="4000"/>
    <s v="Train"/>
    <s v="Railway"/>
    <n v="1500"/>
    <n v="5500"/>
  </r>
  <r>
    <n v="133"/>
    <x v="27"/>
    <s v="USA"/>
    <x v="2"/>
    <d v="2023-07-15T00:00:00"/>
    <d v="2023-07-22T00:00:00"/>
    <n v="7"/>
    <s v="EmilyDavis"/>
    <n v="27"/>
    <x v="1"/>
    <s v="American"/>
    <s v="Hotel"/>
    <n v="6500"/>
    <s v="Flight"/>
    <s v="Airway"/>
    <n v="500"/>
    <n v="7000"/>
  </r>
  <r>
    <n v="134"/>
    <x v="7"/>
    <s v="Brazil"/>
    <x v="4"/>
    <d v="2023-01-08T00:00:00"/>
    <d v="2023-10-08T00:00:00"/>
    <n v="9"/>
    <s v="JosePerez"/>
    <n v="37"/>
    <x v="0"/>
    <s v="Brazilian"/>
    <s v="Hostel"/>
    <n v="2500"/>
    <s v="Car"/>
    <s v="Roadway"/>
    <n v="2000"/>
    <n v="4500"/>
  </r>
  <r>
    <n v="135"/>
    <x v="21"/>
    <s v="Canada"/>
    <x v="2"/>
    <d v="2023-08-15T00:00:00"/>
    <d v="2023-08-21T00:00:00"/>
    <n v="6"/>
    <s v="EmmaWilson"/>
    <n v="29"/>
    <x v="1"/>
    <s v="Canadian"/>
    <s v="Hotel"/>
    <n v="5000"/>
    <s v="Flight"/>
    <s v="Airway"/>
    <n v="3000"/>
    <n v="8000"/>
  </r>
  <r>
    <n v="136"/>
    <x v="17"/>
    <s v="Thailand"/>
    <x v="1"/>
    <d v="2023-01-09T00:00:00"/>
    <d v="2023-08-09T00:00:00"/>
    <n v="7"/>
    <s v="RyanChen"/>
    <n v="34"/>
    <x v="0"/>
    <s v="Chinese"/>
    <s v="Hostel"/>
    <n v="2000"/>
    <s v="Train"/>
    <s v="Railway"/>
    <n v="1000"/>
    <n v="3000"/>
  </r>
  <r>
    <n v="137"/>
    <x v="11"/>
    <s v="Spain"/>
    <x v="0"/>
    <d v="2023-09-15T00:00:00"/>
    <d v="2023-09-22T00:00:00"/>
    <n v="7"/>
    <s v="SofiaRodriguez"/>
    <n v="25"/>
    <x v="1"/>
    <s v="Spanish"/>
    <s v="Airbnb"/>
    <n v="600"/>
    <s v="Flight"/>
    <s v="Airway"/>
    <n v="300"/>
    <n v="900"/>
  </r>
  <r>
    <n v="138"/>
    <x v="28"/>
    <s v="NewZealand"/>
    <x v="3"/>
    <d v="2023-01-10T00:00:00"/>
    <d v="2023-08-10T00:00:00"/>
    <n v="7"/>
    <s v="WilliamBrown"/>
    <n v="39"/>
    <x v="0"/>
    <s v="NewZealander"/>
    <s v="Hotel"/>
    <n v="7000"/>
    <s v="Train"/>
    <s v="Railway"/>
    <n v="2500"/>
    <n v="95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7">
  <r>
    <n v="1"/>
    <s v="London"/>
    <x v="0"/>
    <s v="Europe"/>
    <d v="2023-01-05T00:00:00"/>
    <d v="2023-08-05T00:00:00"/>
    <n v="7"/>
    <s v="JohnSmith"/>
    <n v="35"/>
    <x v="0"/>
    <s v="American"/>
    <x v="0"/>
    <n v="1200"/>
    <x v="0"/>
    <s v="Airway"/>
    <n v="600"/>
    <n v="1800"/>
  </r>
  <r>
    <n v="2"/>
    <s v="Phuket"/>
    <x v="1"/>
    <s v="Asia"/>
    <d v="2023-06-15T00:00:00"/>
    <d v="2023-06-20T00:00:00"/>
    <n v="5"/>
    <s v="JaneDoe"/>
    <n v="28"/>
    <x v="1"/>
    <s v="Canadian"/>
    <x v="1"/>
    <n v="800"/>
    <x v="0"/>
    <s v="Airway"/>
    <n v="500"/>
    <n v="1300"/>
  </r>
  <r>
    <n v="3"/>
    <s v="Bali"/>
    <x v="2"/>
    <s v="Asia"/>
    <d v="2023-01-07T00:00:00"/>
    <d v="2023-08-07T00:00:00"/>
    <n v="7"/>
    <s v="DavidLee"/>
    <n v="45"/>
    <x v="0"/>
    <s v="Korean"/>
    <x v="2"/>
    <n v="1000"/>
    <x v="0"/>
    <s v="Airway"/>
    <n v="700"/>
    <n v="1700"/>
  </r>
  <r>
    <n v="4"/>
    <s v="NewYork"/>
    <x v="3"/>
    <s v="North America"/>
    <d v="2023-08-15T00:00:00"/>
    <d v="2023-08-29T00:00:00"/>
    <n v="14"/>
    <s v="SarahJohnson"/>
    <n v="29"/>
    <x v="1"/>
    <s v="British"/>
    <x v="0"/>
    <n v="2000"/>
    <x v="0"/>
    <s v="Airway"/>
    <n v="1000"/>
    <n v="3000"/>
  </r>
  <r>
    <n v="5"/>
    <s v="Tokyo"/>
    <x v="4"/>
    <s v="Asia"/>
    <d v="2023-10-09T00:00:00"/>
    <d v="2023-09-17T00:00:00"/>
    <n v="7"/>
    <s v="KimNguyen"/>
    <n v="26"/>
    <x v="1"/>
    <s v="Vietnamese"/>
    <x v="3"/>
    <n v="700"/>
    <x v="1"/>
    <s v="Railway"/>
    <n v="200"/>
    <n v="900"/>
  </r>
  <r>
    <n v="6"/>
    <s v="Paris"/>
    <x v="5"/>
    <s v="Europe"/>
    <d v="2023-05-10T00:00:00"/>
    <d v="2023-10-10T00:00:00"/>
    <n v="5"/>
    <s v="MichaelBrown"/>
    <n v="42"/>
    <x v="0"/>
    <s v="American"/>
    <x v="0"/>
    <n v="1500"/>
    <x v="0"/>
    <s v="Airway"/>
    <n v="800"/>
    <n v="2300"/>
  </r>
  <r>
    <n v="7"/>
    <s v="Sydney"/>
    <x v="6"/>
    <s v="Australia"/>
    <d v="2023-11-20T00:00:00"/>
    <d v="2023-11-30T00:00:00"/>
    <n v="10"/>
    <s v="EmilyDavis"/>
    <n v="33"/>
    <x v="1"/>
    <s v="Australian"/>
    <x v="4"/>
    <n v="500"/>
    <x v="0"/>
    <s v="Airway"/>
    <n v="1200"/>
    <n v="1700"/>
  </r>
  <r>
    <n v="8"/>
    <s v="RiodeJaneiro"/>
    <x v="7"/>
    <s v="South America"/>
    <d v="2024-05-01T00:00:00"/>
    <d v="2024-12-01T00:00:00"/>
    <n v="7"/>
    <s v="LucasSantos"/>
    <n v="25"/>
    <x v="0"/>
    <s v="Brazilian"/>
    <x v="3"/>
    <n v="900"/>
    <x v="0"/>
    <s v="Airway"/>
    <n v="600"/>
    <n v="1500"/>
  </r>
  <r>
    <n v="9"/>
    <s v="Amsterdam"/>
    <x v="8"/>
    <s v="Europe"/>
    <d v="2024-02-14T00:00:00"/>
    <d v="2024-02-21T00:00:00"/>
    <n v="7"/>
    <s v="LauraJanssen"/>
    <n v="31"/>
    <x v="1"/>
    <s v="Dutch"/>
    <x v="0"/>
    <n v="1200"/>
    <x v="1"/>
    <s v="Railway"/>
    <n v="200"/>
    <n v="1400"/>
  </r>
  <r>
    <n v="10"/>
    <s v="Dubai"/>
    <x v="9"/>
    <s v="Asia"/>
    <d v="2024-10-03T00:00:00"/>
    <d v="2024-03-17T00:00:00"/>
    <n v="7"/>
    <s v="MohammedAli"/>
    <n v="39"/>
    <x v="0"/>
    <s v="Emirati"/>
    <x v="1"/>
    <n v="2500"/>
    <x v="0"/>
    <s v="Airway"/>
    <n v="800"/>
    <n v="3300"/>
  </r>
  <r>
    <n v="11"/>
    <s v="Cancun"/>
    <x v="10"/>
    <s v="North America"/>
    <d v="2024-01-04T00:00:00"/>
    <d v="2024-08-04T00:00:00"/>
    <n v="7"/>
    <s v="AnaHernandez"/>
    <n v="27"/>
    <x v="1"/>
    <s v="Mexican"/>
    <x v="0"/>
    <n v="1000"/>
    <x v="0"/>
    <s v="Airway"/>
    <n v="500"/>
    <n v="1500"/>
  </r>
  <r>
    <n v="12"/>
    <s v="Barcelona"/>
    <x v="11"/>
    <s v="Europe"/>
    <d v="2024-05-15T00:00:00"/>
    <d v="2024-05-22T00:00:00"/>
    <n v="7"/>
    <s v="CarlosGarcia"/>
    <n v="36"/>
    <x v="0"/>
    <s v="Spanish"/>
    <x v="3"/>
    <n v="800"/>
    <x v="1"/>
    <s v="Railway"/>
    <n v="100"/>
    <n v="900"/>
  </r>
  <r>
    <n v="13"/>
    <s v="Honolulu"/>
    <x v="12"/>
    <s v="North America"/>
    <d v="2024-10-06T00:00:00"/>
    <d v="2024-06-18T00:00:00"/>
    <n v="8"/>
    <s v="LilyWong"/>
    <n v="29"/>
    <x v="1"/>
    <s v="Chinese"/>
    <x v="1"/>
    <n v="3000"/>
    <x v="0"/>
    <s v="Airway"/>
    <n v="1200"/>
    <n v="4200"/>
  </r>
  <r>
    <n v="14"/>
    <s v="Berlin"/>
    <x v="13"/>
    <s v="Europe"/>
    <d v="2024-01-07T00:00:00"/>
    <d v="2024-10-07T00:00:00"/>
    <n v="9"/>
    <s v="HansMueller"/>
    <n v="48"/>
    <x v="0"/>
    <s v="German"/>
    <x v="0"/>
    <n v="1400"/>
    <x v="0"/>
    <s v="Airway"/>
    <n v="700"/>
    <n v="2100"/>
  </r>
  <r>
    <n v="15"/>
    <s v="Marrakech"/>
    <x v="14"/>
    <s v="Africa"/>
    <d v="2024-08-20T00:00:00"/>
    <d v="2024-08-27T00:00:00"/>
    <n v="7"/>
    <s v="FatimaKhouri"/>
    <n v="26"/>
    <x v="1"/>
    <s v="Moroccan"/>
    <x v="5"/>
    <n v="600"/>
    <x v="0"/>
    <s v="Airway"/>
    <n v="400"/>
    <n v="1000"/>
  </r>
  <r>
    <n v="16"/>
    <s v="Edinburgh"/>
    <x v="15"/>
    <s v="Europe"/>
    <d v="2024-05-09T00:00:00"/>
    <d v="2024-12-09T00:00:00"/>
    <n v="7"/>
    <s v="JamesMacKenzie"/>
    <n v="32"/>
    <x v="0"/>
    <s v="Scottish"/>
    <x v="0"/>
    <n v="900"/>
    <x v="1"/>
    <s v="Railway"/>
    <n v="150"/>
    <n v="1050"/>
  </r>
  <r>
    <n v="17"/>
    <s v="Paris"/>
    <x v="5"/>
    <s v="Europe"/>
    <d v="2023-01-09T00:00:00"/>
    <d v="2023-10-09T00:00:00"/>
    <n v="9"/>
    <s v="SarahJohnson"/>
    <n v="30"/>
    <x v="1"/>
    <s v="American"/>
    <x v="0"/>
    <n v="900"/>
    <x v="0"/>
    <s v="Airway"/>
    <n v="400"/>
    <n v="1300"/>
  </r>
  <r>
    <n v="18"/>
    <s v="Bali"/>
    <x v="2"/>
    <s v="Asia"/>
    <d v="2023-08-15T00:00:00"/>
    <d v="2023-08-25T00:00:00"/>
    <n v="10"/>
    <s v="MichaelChang"/>
    <n v="28"/>
    <x v="0"/>
    <s v="Chinese"/>
    <x v="1"/>
    <n v="1500"/>
    <x v="0"/>
    <s v="Airway"/>
    <n v="700"/>
    <n v="2200"/>
  </r>
  <r>
    <n v="19"/>
    <s v="London"/>
    <x v="0"/>
    <s v="Europe"/>
    <d v="2023-07-22T00:00:00"/>
    <d v="2023-07-28T00:00:00"/>
    <n v="6"/>
    <s v="OliviaRodriguez"/>
    <n v="35"/>
    <x v="1"/>
    <s v="British"/>
    <x v="0"/>
    <n v="1200"/>
    <x v="1"/>
    <s v="Railway"/>
    <n v="150"/>
    <n v="1350"/>
  </r>
  <r>
    <n v="20"/>
    <s v="Tokyo"/>
    <x v="4"/>
    <s v="Asia"/>
    <d v="2023-05-10T00:00:00"/>
    <d v="2023-10-15T00:00:00"/>
    <n v="10"/>
    <s v="KenjiNakamura"/>
    <n v="45"/>
    <x v="0"/>
    <s v="Japanese"/>
    <x v="0"/>
    <n v="1200"/>
    <x v="0"/>
    <s v="Airway"/>
    <n v="800"/>
    <n v="2000"/>
  </r>
  <r>
    <n v="21"/>
    <s v="NewYork"/>
    <x v="3"/>
    <s v="North America"/>
    <d v="2023-11-20T00:00:00"/>
    <d v="2023-11-25T00:00:00"/>
    <n v="5"/>
    <s v="EmilyLee"/>
    <n v="27"/>
    <x v="1"/>
    <s v="American"/>
    <x v="3"/>
    <n v="600"/>
    <x v="2"/>
    <s v="Roadway"/>
    <n v="100"/>
    <n v="700"/>
  </r>
  <r>
    <n v="22"/>
    <s v="Sydney"/>
    <x v="6"/>
    <s v="Australia"/>
    <d v="2023-05-12T00:00:00"/>
    <d v="2023-12-12T00:00:00"/>
    <n v="7"/>
    <s v="JamesWilson"/>
    <n v="32"/>
    <x v="0"/>
    <s v="Australian"/>
    <x v="0"/>
    <n v="1000"/>
    <x v="0"/>
    <s v="Airway"/>
    <n v="600"/>
    <n v="1600"/>
  </r>
  <r>
    <n v="23"/>
    <s v="Rome"/>
    <x v="16"/>
    <s v="Europe"/>
    <d v="2023-01-11T00:00:00"/>
    <d v="2023-08-11T00:00:00"/>
    <n v="7"/>
    <s v="SofiaRusso"/>
    <n v="29"/>
    <x v="1"/>
    <s v="Italian"/>
    <x v="3"/>
    <n v="700"/>
    <x v="1"/>
    <s v="Railway"/>
    <n v="80"/>
    <n v="780"/>
  </r>
  <r>
    <n v="24"/>
    <s v="Bangkok"/>
    <x v="1"/>
    <s v="Asia"/>
    <d v="2023-09-15T00:00:00"/>
    <d v="2023-09-23T00:00:00"/>
    <n v="8"/>
    <s v="RajPatel"/>
    <n v="40"/>
    <x v="0"/>
    <s v="Indian"/>
    <x v="4"/>
    <n v="400"/>
    <x v="0"/>
    <s v="Airway"/>
    <n v="500"/>
    <n v="900"/>
  </r>
  <r>
    <n v="25"/>
    <s v="Paris"/>
    <x v="5"/>
    <s v="Europe"/>
    <d v="2023-12-22T00:00:00"/>
    <d v="2023-12-28T00:00:00"/>
    <n v="6"/>
    <s v="LilyNguyen"/>
    <n v="24"/>
    <x v="1"/>
    <s v="Vietnamese"/>
    <x v="0"/>
    <n v="1400"/>
    <x v="1"/>
    <s v="Railway"/>
    <n v="100"/>
    <n v="1500"/>
  </r>
  <r>
    <n v="26"/>
    <s v="Hawaii"/>
    <x v="3"/>
    <s v="North America"/>
    <d v="2023-01-08T00:00:00"/>
    <d v="2023-10-08T00:00:00"/>
    <n v="9"/>
    <s v="DavidKim"/>
    <n v="34"/>
    <x v="0"/>
    <s v="Korean"/>
    <x v="1"/>
    <n v="2000"/>
    <x v="0"/>
    <s v="Airway"/>
    <n v="800"/>
    <n v="2800"/>
  </r>
  <r>
    <n v="27"/>
    <s v="Barcelona"/>
    <x v="11"/>
    <s v="Europe"/>
    <d v="2023-10-20T00:00:00"/>
    <d v="2023-10-28T00:00:00"/>
    <n v="8"/>
    <s v="MariaGarcia"/>
    <n v="31"/>
    <x v="1"/>
    <s v="Spanish"/>
    <x v="0"/>
    <n v="1100"/>
    <x v="1"/>
    <s v="Railway"/>
    <n v="150"/>
    <n v="1250"/>
  </r>
  <r>
    <n v="28"/>
    <s v="Tokyo"/>
    <x v="4"/>
    <s v="Asia"/>
    <d v="2022-10-05T00:00:00"/>
    <d v="2022-05-18T00:00:00"/>
    <n v="8"/>
    <s v="AliceSmith"/>
    <n v="30"/>
    <x v="1"/>
    <s v="American"/>
    <x v="0"/>
    <n v="800"/>
    <x v="0"/>
    <s v="Airway"/>
    <n v="500"/>
    <n v="1300"/>
  </r>
  <r>
    <n v="29"/>
    <s v="Phuket"/>
    <x v="1"/>
    <s v="Asia"/>
    <d v="2022-06-15T00:00:00"/>
    <d v="2022-06-22T00:00:00"/>
    <n v="7"/>
    <s v="BobJohnson"/>
    <n v="45"/>
    <x v="0"/>
    <s v="Canadian"/>
    <x v="4"/>
    <n v="200"/>
    <x v="1"/>
    <s v="Railway"/>
    <n v="150"/>
    <n v="350"/>
  </r>
  <r>
    <n v="30"/>
    <s v="Paris"/>
    <x v="5"/>
    <s v="Europe"/>
    <d v="2022-02-07T00:00:00"/>
    <d v="2022-11-07T00:00:00"/>
    <n v="9"/>
    <s v="CharlieLee"/>
    <n v="25"/>
    <x v="0"/>
    <s v="Korean"/>
    <x v="3"/>
    <n v="600"/>
    <x v="3"/>
    <s v="Roadway"/>
    <n v="300"/>
    <n v="900"/>
  </r>
  <r>
    <n v="31"/>
    <s v="Sydney"/>
    <x v="6"/>
    <s v="Australia"/>
    <d v="2022-08-20T00:00:00"/>
    <d v="2022-02-09T00:00:00"/>
    <n v="13"/>
    <s v="EmmaDavis"/>
    <n v="28"/>
    <x v="1"/>
    <s v="British"/>
    <x v="0"/>
    <n v="1000"/>
    <x v="3"/>
    <s v="Roadway"/>
    <n v="500"/>
    <n v="1500"/>
  </r>
  <r>
    <n v="32"/>
    <s v="RiodeJaneiro"/>
    <x v="7"/>
    <s v="South America"/>
    <d v="2022-05-09T00:00:00"/>
    <d v="2022-09-14T00:00:00"/>
    <n v="9"/>
    <s v="OliviaMartin"/>
    <n v="33"/>
    <x v="1"/>
    <s v="Australian"/>
    <x v="4"/>
    <n v="150"/>
    <x v="2"/>
    <s v="Roadway"/>
    <n v="50"/>
    <n v="200"/>
  </r>
  <r>
    <n v="33"/>
    <s v="Santorini"/>
    <x v="17"/>
    <s v="Europe"/>
    <d v="2022-12-10T00:00:00"/>
    <d v="2022-10-20T00:00:00"/>
    <n v="8"/>
    <s v="HarryWilson"/>
    <n v="20"/>
    <x v="0"/>
    <s v="American"/>
    <x v="3"/>
    <n v="400"/>
    <x v="0"/>
    <s v="Airway"/>
    <n v="600"/>
    <n v="1000"/>
  </r>
  <r>
    <n v="34"/>
    <s v="Cairo"/>
    <x v="18"/>
    <s v="Africa"/>
    <d v="2022-08-11T00:00:00"/>
    <d v="2022-11-15T00:00:00"/>
    <n v="7"/>
    <s v="SophiaLee"/>
    <n v="37"/>
    <x v="1"/>
    <s v="Canadian"/>
    <x v="0"/>
    <n v="700"/>
    <x v="1"/>
    <s v="Railway"/>
    <n v="100"/>
    <n v="800"/>
  </r>
  <r>
    <n v="35"/>
    <s v="Cancun"/>
    <x v="10"/>
    <s v="North America"/>
    <d v="2023-05-01T00:00:00"/>
    <d v="2023-01-15T00:00:00"/>
    <n v="10"/>
    <s v="JamesBrown"/>
    <n v="42"/>
    <x v="0"/>
    <s v="British"/>
    <x v="3"/>
    <n v="500"/>
    <x v="0"/>
    <s v="Airway"/>
    <n v="800"/>
    <n v="1300"/>
  </r>
  <r>
    <n v="36"/>
    <s v="Rome"/>
    <x v="16"/>
    <s v="Europe"/>
    <d v="2023-02-14T00:00:00"/>
    <d v="2023-02-20T00:00:00"/>
    <n v="6"/>
    <s v="MiaJohnson"/>
    <n v="31"/>
    <x v="1"/>
    <s v="American"/>
    <x v="4"/>
    <n v="180"/>
    <x v="1"/>
    <s v="Railway"/>
    <n v="120"/>
    <n v="300"/>
  </r>
  <r>
    <n v="37"/>
    <s v="Barcelona"/>
    <x v="11"/>
    <s v="Europe"/>
    <d v="2023-03-23T00:00:00"/>
    <d v="2023-03-31T00:00:00"/>
    <n v="8"/>
    <s v="WilliamDavis"/>
    <n v="27"/>
    <x v="0"/>
    <s v="Korean"/>
    <x v="0"/>
    <n v="900"/>
    <x v="3"/>
    <s v="Roadway"/>
    <n v="400"/>
    <n v="1300"/>
  </r>
  <r>
    <n v="38"/>
    <s v="Vancouver"/>
    <x v="19"/>
    <s v="North America"/>
    <d v="2023-04-19T00:00:00"/>
    <d v="2023-04-26T00:00:00"/>
    <n v="7"/>
    <s v="AmeliaBrown"/>
    <n v="38"/>
    <x v="1"/>
    <s v="Australian"/>
    <x v="3"/>
    <n v="350"/>
    <x v="2"/>
    <s v="Roadway"/>
    <n v="75"/>
    <n v="425"/>
  </r>
  <r>
    <n v="39"/>
    <s v="Paris"/>
    <x v="5"/>
    <s v="Europe"/>
    <d v="2022-12-06T00:00:00"/>
    <d v="2022-06-19T00:00:00"/>
    <n v="7"/>
    <s v="MiaJohnson"/>
    <n v="25"/>
    <x v="1"/>
    <s v="American"/>
    <x v="0"/>
    <n v="1400"/>
    <x v="0"/>
    <s v="Airway"/>
    <n v="600"/>
    <n v="2000"/>
  </r>
  <r>
    <n v="40"/>
    <s v="Sydney"/>
    <x v="6"/>
    <s v="Australia"/>
    <d v="2023-02-01T00:00:00"/>
    <d v="2023-09-01T00:00:00"/>
    <n v="7"/>
    <s v="AdamLee"/>
    <n v="33"/>
    <x v="0"/>
    <s v="Canadian"/>
    <x v="3"/>
    <n v="800"/>
    <x v="1"/>
    <s v="Railway"/>
    <n v="150"/>
    <n v="950"/>
  </r>
  <r>
    <n v="41"/>
    <s v="Tokyo"/>
    <x v="4"/>
    <s v="Asia"/>
    <d v="2022-10-12T00:00:00"/>
    <d v="2022-12-18T00:00:00"/>
    <n v="8"/>
    <s v="SarahWong"/>
    <n v="28"/>
    <x v="1"/>
    <s v="Chinese"/>
    <x v="4"/>
    <n v="500"/>
    <x v="0"/>
    <s v="Airway"/>
    <n v="900"/>
    <n v="1400"/>
  </r>
  <r>
    <n v="42"/>
    <s v="Cancun"/>
    <x v="10"/>
    <s v="North America"/>
    <d v="2023-01-07T00:00:00"/>
    <d v="2023-08-07T00:00:00"/>
    <n v="7"/>
    <s v="JohnSmith"/>
    <n v="45"/>
    <x v="0"/>
    <s v="American"/>
    <x v="1"/>
    <n v="2200"/>
    <x v="0"/>
    <s v="Airway"/>
    <n v="800"/>
    <n v="3000"/>
  </r>
  <r>
    <n v="43"/>
    <s v="RiodeJaneiro"/>
    <x v="7"/>
    <s v="South America"/>
    <d v="2022-11-20T00:00:00"/>
    <d v="2022-11-27T00:00:00"/>
    <n v="7"/>
    <s v="MariaSilva"/>
    <n v="30"/>
    <x v="1"/>
    <s v="Brazilian"/>
    <x v="0"/>
    <n v="1200"/>
    <x v="0"/>
    <s v="Airway"/>
    <n v="700"/>
    <n v="1900"/>
  </r>
  <r>
    <n v="44"/>
    <s v="London"/>
    <x v="0"/>
    <s v="Europe"/>
    <d v="2023-05-03T00:00:00"/>
    <d v="2023-12-03T00:00:00"/>
    <n v="7"/>
    <s v="PeterBrown"/>
    <n v="55"/>
    <x v="0"/>
    <s v="British"/>
    <x v="3"/>
    <n v="900"/>
    <x v="1"/>
    <s v="Railway"/>
    <n v="100"/>
    <n v="1000"/>
  </r>
  <r>
    <n v="45"/>
    <s v="Barcelona"/>
    <x v="11"/>
    <s v="Europe"/>
    <d v="2023-08-18T00:00:00"/>
    <d v="2023-08-25T00:00:00"/>
    <n v="7"/>
    <s v="EmmaGarcia"/>
    <n v="27"/>
    <x v="1"/>
    <s v="Spanish"/>
    <x v="4"/>
    <n v="600"/>
    <x v="0"/>
    <s v="Airway"/>
    <n v="600"/>
    <n v="1200"/>
  </r>
  <r>
    <n v="46"/>
    <s v="NewYork"/>
    <x v="3"/>
    <s v="North America"/>
    <d v="2022-09-15T00:00:00"/>
    <d v="2022-09-22T00:00:00"/>
    <n v="7"/>
    <s v="MichaelDavis"/>
    <n v="41"/>
    <x v="0"/>
    <s v="American"/>
    <x v="0"/>
    <n v="1500"/>
    <x v="0"/>
    <s v="Airway"/>
    <n v="500"/>
    <n v="2000"/>
  </r>
  <r>
    <n v="47"/>
    <s v="Bangkok"/>
    <x v="1"/>
    <s v="Asia"/>
    <d v="2023-01-05T00:00:00"/>
    <d v="2023-07-05T00:00:00"/>
    <n v="6"/>
    <s v="NinaPatel"/>
    <n v="29"/>
    <x v="1"/>
    <s v="Indian"/>
    <x v="3"/>
    <n v="500"/>
    <x v="2"/>
    <s v="Roadway"/>
    <n v="50"/>
    <n v="550"/>
  </r>
  <r>
    <n v="48"/>
    <s v="Vancouver"/>
    <x v="19"/>
    <s v="North America"/>
    <d v="2022-10-07T00:00:00"/>
    <d v="2022-07-17T00:00:00"/>
    <n v="7"/>
    <s v="KevinKim"/>
    <n v="24"/>
    <x v="0"/>
    <s v="Korean"/>
    <x v="4"/>
    <n v="400"/>
    <x v="1"/>
    <s v="Railway"/>
    <n v="150"/>
    <n v="550"/>
  </r>
  <r>
    <n v="49"/>
    <s v="Amsterdam"/>
    <x v="8"/>
    <s v="Europe"/>
    <d v="2023-06-20T00:00:00"/>
    <d v="2023-06-28T00:00:00"/>
    <n v="8"/>
    <s v="LauravandenBerg"/>
    <n v="31"/>
    <x v="1"/>
    <s v="Dutch"/>
    <x v="0"/>
    <n v="1100"/>
    <x v="0"/>
    <s v="Airway"/>
    <n v="700"/>
    <n v="1800"/>
  </r>
  <r>
    <n v="50"/>
    <s v="Paris"/>
    <x v="5"/>
    <s v="Europe"/>
    <d v="2023-08-15T00:00:00"/>
    <d v="2023-08-22T00:00:00"/>
    <n v="7"/>
    <s v="JenniferNguyen"/>
    <n v="31"/>
    <x v="1"/>
    <s v="Canadian"/>
    <x v="0"/>
    <n v="1200"/>
    <x v="1"/>
    <s v="Railway"/>
    <n v="300"/>
    <n v="1500"/>
  </r>
  <r>
    <n v="51"/>
    <s v="Tokyo"/>
    <x v="4"/>
    <s v="Asia"/>
    <d v="2023-10-10T00:00:00"/>
    <d v="2023-10-20T00:00:00"/>
    <n v="10"/>
    <s v="DavidKim"/>
    <n v="25"/>
    <x v="0"/>
    <s v="American"/>
    <x v="4"/>
    <n v="500"/>
    <x v="2"/>
    <s v="Roadway"/>
    <n v="100"/>
    <n v="600"/>
  </r>
  <r>
    <n v="52"/>
    <s v="Sydney"/>
    <x v="6"/>
    <s v="Australia"/>
    <d v="2023-05-11T00:00:00"/>
    <d v="2023-12-11T00:00:00"/>
    <n v="7"/>
    <s v="RachelLee"/>
    <n v="27"/>
    <x v="1"/>
    <s v="SouthKorean"/>
    <x v="3"/>
    <n v="900"/>
    <x v="3"/>
    <s v="Roadway"/>
    <n v="200"/>
    <n v="1100"/>
  </r>
  <r>
    <n v="53"/>
    <s v="NewYork"/>
    <x v="3"/>
    <s v="North America"/>
    <d v="2023-12-24T00:00:00"/>
    <d v="2023-12-31T00:00:00"/>
    <n v="7"/>
    <s v="JessicaWong"/>
    <n v="28"/>
    <x v="1"/>
    <s v="Canadian"/>
    <x v="0"/>
    <n v="1400"/>
    <x v="0"/>
    <s v="Airway"/>
    <n v="800"/>
    <n v="2200"/>
  </r>
  <r>
    <n v="54"/>
    <s v="RiodeJaneiro"/>
    <x v="7"/>
    <s v="South America"/>
    <d v="2024-01-15T00:00:00"/>
    <d v="2024-01-24T00:00:00"/>
    <n v="9"/>
    <s v="FelipeAlmeida"/>
    <n v="30"/>
    <x v="0"/>
    <s v="Brazilian"/>
    <x v="3"/>
    <n v="800"/>
    <x v="1"/>
    <s v="Railway"/>
    <n v="150"/>
    <n v="950"/>
  </r>
  <r>
    <n v="55"/>
    <s v="Bangkok"/>
    <x v="1"/>
    <s v="Asia"/>
    <d v="2024-01-02T00:00:00"/>
    <d v="2024-09-02T00:00:00"/>
    <n v="8"/>
    <s v="NisaPatel"/>
    <n v="23"/>
    <x v="1"/>
    <s v="Indian"/>
    <x v="4"/>
    <n v="400"/>
    <x v="2"/>
    <s v="Roadway"/>
    <n v="50"/>
    <n v="450"/>
  </r>
  <r>
    <n v="56"/>
    <s v="London"/>
    <x v="0"/>
    <s v="Europe"/>
    <d v="2024-03-15T00:00:00"/>
    <d v="2024-03-23T00:00:00"/>
    <n v="8"/>
    <s v="BenSmith"/>
    <n v="35"/>
    <x v="0"/>
    <s v="British"/>
    <x v="0"/>
    <n v="1000"/>
    <x v="1"/>
    <s v="Railway"/>
    <n v="200"/>
    <n v="1200"/>
  </r>
  <r>
    <n v="57"/>
    <s v="Barcelona"/>
    <x v="11"/>
    <s v="Europe"/>
    <d v="2024-05-04T00:00:00"/>
    <d v="2024-04-13T00:00:00"/>
    <n v="8"/>
    <s v="LauraGomez"/>
    <n v="29"/>
    <x v="1"/>
    <s v="Spanish"/>
    <x v="3"/>
    <n v="700"/>
    <x v="3"/>
    <s v="Roadway"/>
    <n v="250"/>
    <n v="950"/>
  </r>
  <r>
    <n v="58"/>
    <s v="Seoul"/>
    <x v="20"/>
    <s v="Asia"/>
    <d v="2024-10-05T00:00:00"/>
    <d v="2024-05-18T00:00:00"/>
    <n v="8"/>
    <s v="ParkMinWoo"/>
    <n v="27"/>
    <x v="0"/>
    <s v="SouthKorean"/>
    <x v="4"/>
    <n v="500"/>
    <x v="4"/>
    <s v="Railway"/>
    <n v="20"/>
    <n v="520"/>
  </r>
  <r>
    <n v="59"/>
    <s v="LosAngeles"/>
    <x v="3"/>
    <s v="North America"/>
    <d v="2024-06-20T00:00:00"/>
    <d v="2024-06-27T00:00:00"/>
    <n v="7"/>
    <s v="MichaelChen"/>
    <n v="26"/>
    <x v="0"/>
    <s v="Chinese"/>
    <x v="0"/>
    <n v="1200"/>
    <x v="3"/>
    <s v="Roadway"/>
    <n v="300"/>
    <n v="1500"/>
  </r>
  <r>
    <n v="60"/>
    <s v="Rome"/>
    <x v="16"/>
    <s v="Europe"/>
    <d v="2024-07-15T00:00:00"/>
    <d v="2024-07-23T00:00:00"/>
    <n v="8"/>
    <s v="SofiaRossi"/>
    <n v="33"/>
    <x v="1"/>
    <s v="Italian"/>
    <x v="3"/>
    <n v="800"/>
    <x v="1"/>
    <s v="Railway"/>
    <n v="100"/>
    <n v="900"/>
  </r>
  <r>
    <n v="61"/>
    <s v="Paris"/>
    <x v="5"/>
    <s v="Europe"/>
    <d v="2022-12-07T00:00:00"/>
    <d v="2022-07-18T00:00:00"/>
    <n v="6"/>
    <s v="RachelSanders"/>
    <n v="35"/>
    <x v="1"/>
    <s v="American"/>
    <x v="0"/>
    <n v="1200"/>
    <x v="0"/>
    <s v="Airway"/>
    <n v="800"/>
    <n v="2000"/>
  </r>
  <r>
    <n v="62"/>
    <s v="Tokyo"/>
    <x v="4"/>
    <s v="Asia"/>
    <d v="2022-03-09T00:00:00"/>
    <d v="2022-10-09T00:00:00"/>
    <n v="7"/>
    <s v="KenjiNakamura"/>
    <n v="28"/>
    <x v="0"/>
    <s v="Japanese"/>
    <x v="4"/>
    <n v="400"/>
    <x v="1"/>
    <s v="Railway"/>
    <n v="300"/>
    <n v="700"/>
  </r>
  <r>
    <n v="63"/>
    <s v="CapeTown"/>
    <x v="21"/>
    <s v="Africa"/>
    <d v="2023-07-01T00:00:00"/>
    <d v="2023-01-16T00:00:00"/>
    <n v="9"/>
    <s v="EmilyWatson"/>
    <n v="29"/>
    <x v="1"/>
    <s v="British"/>
    <x v="6"/>
    <n v="800"/>
    <x v="3"/>
    <s v="Roadway"/>
    <n v="200"/>
    <n v="1000"/>
  </r>
  <r>
    <n v="64"/>
    <s v="Sydney"/>
    <x v="6"/>
    <s v="Australia"/>
    <d v="2023-06-23T00:00:00"/>
    <d v="2023-06-29T00:00:00"/>
    <n v="6"/>
    <s v="DavidLee"/>
    <n v="43"/>
    <x v="0"/>
    <s v="Australian"/>
    <x v="0"/>
    <n v="1500"/>
    <x v="0"/>
    <s v="Airway"/>
    <n v="1200"/>
    <n v="2700"/>
  </r>
  <r>
    <n v="65"/>
    <s v="Barcelona"/>
    <x v="11"/>
    <s v="Europe"/>
    <d v="2023-08-18T00:00:00"/>
    <d v="2023-08-25T00:00:00"/>
    <n v="7"/>
    <s v="AnaRodriguez"/>
    <n v="31"/>
    <x v="1"/>
    <s v="Spanish"/>
    <x v="6"/>
    <n v="900"/>
    <x v="0"/>
    <s v="Airway"/>
    <n v="700"/>
    <n v="1600"/>
  </r>
  <r>
    <n v="66"/>
    <s v="Bali"/>
    <x v="2"/>
    <s v="Asia"/>
    <d v="2024-01-02T00:00:00"/>
    <d v="2024-08-02T00:00:00"/>
    <n v="7"/>
    <s v="TomWilson"/>
    <n v="27"/>
    <x v="0"/>
    <s v="American"/>
    <x v="1"/>
    <n v="2200"/>
    <x v="0"/>
    <s v="Airway"/>
    <n v="1000"/>
    <n v="3200"/>
  </r>
  <r>
    <n v="67"/>
    <s v="Paris"/>
    <x v="5"/>
    <s v="Europe"/>
    <d v="2024-06-05T00:00:00"/>
    <d v="2024-12-05T00:00:00"/>
    <n v="6"/>
    <s v="OliviaGreen"/>
    <n v="39"/>
    <x v="1"/>
    <s v="French"/>
    <x v="0"/>
    <n v="1100"/>
    <x v="1"/>
    <s v="Railway"/>
    <n v="200"/>
    <n v="1300"/>
  </r>
  <r>
    <n v="68"/>
    <s v="NewYork"/>
    <x v="3"/>
    <s v="North America"/>
    <d v="2024-07-20T00:00:00"/>
    <d v="2024-07-26T00:00:00"/>
    <n v="6"/>
    <s v="JamesChen"/>
    <n v="25"/>
    <x v="0"/>
    <s v="American"/>
    <x v="6"/>
    <n v="1000"/>
    <x v="0"/>
    <s v="Airway"/>
    <n v="800"/>
    <n v="1800"/>
  </r>
  <r>
    <n v="69"/>
    <s v="Bangkok"/>
    <x v="1"/>
    <s v="Asia"/>
    <d v="2024-08-09T00:00:00"/>
    <d v="2024-09-16T00:00:00"/>
    <n v="8"/>
    <s v="LilaPatel"/>
    <n v="33"/>
    <x v="1"/>
    <s v="Indian"/>
    <x v="4"/>
    <n v="300"/>
    <x v="0"/>
    <s v="Airway"/>
    <n v="700"/>
    <n v="1000"/>
  </r>
  <r>
    <n v="70"/>
    <s v="Rome"/>
    <x v="16"/>
    <s v="Europe"/>
    <d v="2025-02-14T00:00:00"/>
    <d v="2025-02-20T00:00:00"/>
    <n v="6"/>
    <s v="MarcoRossi"/>
    <n v="41"/>
    <x v="0"/>
    <s v="Italian"/>
    <x v="0"/>
    <n v="1300"/>
    <x v="1"/>
    <s v="Railway"/>
    <n v="100"/>
    <n v="1400"/>
  </r>
  <r>
    <n v="71"/>
    <s v="Bali"/>
    <x v="2"/>
    <s v="Asia"/>
    <d v="2025-05-21T00:00:00"/>
    <d v="2025-05-29T00:00:00"/>
    <n v="8"/>
    <s v="SarahBrown"/>
    <n v="37"/>
    <x v="1"/>
    <s v="British"/>
    <x v="1"/>
    <n v="1800"/>
    <x v="0"/>
    <s v="Airway"/>
    <n v="1000"/>
    <n v="2800"/>
  </r>
  <r>
    <n v="73"/>
    <s v="Bali"/>
    <x v="2"/>
    <s v="Asia"/>
    <d v="2022-05-08T00:00:00"/>
    <d v="2022-12-08T00:00:00"/>
    <n v="7"/>
    <s v="SarahLee"/>
    <n v="35"/>
    <x v="1"/>
    <s v="SouthKorean"/>
    <x v="1"/>
    <n v="500"/>
    <x v="0"/>
    <s v="Airway"/>
    <n v="800"/>
    <n v="1300"/>
  </r>
  <r>
    <n v="74"/>
    <s v="Tokyo"/>
    <x v="4"/>
    <s v="Asia"/>
    <d v="2023-01-01T00:00:00"/>
    <d v="2023-09-01T00:00:00"/>
    <n v="8"/>
    <s v="AlexKim"/>
    <n v="29"/>
    <x v="0"/>
    <s v="American"/>
    <x v="0"/>
    <n v="1000"/>
    <x v="1"/>
    <s v="Railway"/>
    <n v="200"/>
    <n v="1200"/>
  </r>
  <r>
    <n v="75"/>
    <s v="Cancun"/>
    <x v="10"/>
    <s v="North America"/>
    <d v="2023-04-15T00:00:00"/>
    <d v="2023-04-22T00:00:00"/>
    <n v="7"/>
    <s v="MariaHernandez"/>
    <n v="42"/>
    <x v="1"/>
    <s v="Mexican"/>
    <x v="1"/>
    <n v="800"/>
    <x v="0"/>
    <s v="Airway"/>
    <n v="500"/>
    <n v="1300"/>
  </r>
  <r>
    <n v="76"/>
    <s v="Paris"/>
    <x v="5"/>
    <s v="Europe"/>
    <d v="2023-07-06T00:00:00"/>
    <d v="2023-06-14T00:00:00"/>
    <n v="7"/>
    <s v="JohnSmith"/>
    <n v="46"/>
    <x v="0"/>
    <s v="British"/>
    <x v="0"/>
    <n v="1200"/>
    <x v="0"/>
    <s v="Airway"/>
    <n v="700"/>
    <n v="1900"/>
  </r>
  <r>
    <n v="77"/>
    <s v="CapeTown"/>
    <x v="21"/>
    <s v="Africa"/>
    <d v="2023-01-09T00:00:00"/>
    <d v="2023-10-09T00:00:00"/>
    <n v="9"/>
    <s v="MarkJohnson"/>
    <n v="31"/>
    <x v="0"/>
    <s v="SouthAfrican"/>
    <x v="7"/>
    <n v="400"/>
    <x v="5"/>
    <s v="Roadway"/>
    <n v="300"/>
    <n v="700"/>
  </r>
  <r>
    <n v="78"/>
    <s v="Bali"/>
    <x v="2"/>
    <s v="Asia"/>
    <d v="2023-12-11T00:00:00"/>
    <d v="2023-11-19T00:00:00"/>
    <n v="7"/>
    <s v="AmandaChen"/>
    <n v="25"/>
    <x v="1"/>
    <s v="Taiwanese"/>
    <x v="1"/>
    <n v="600"/>
    <x v="0"/>
    <s v="Airway"/>
    <n v="700"/>
    <n v="1300"/>
  </r>
  <r>
    <n v="79"/>
    <s v="Sydney"/>
    <x v="6"/>
    <s v="Australia"/>
    <d v="2024-05-02T00:00:00"/>
    <d v="2024-12-02T00:00:00"/>
    <n v="7"/>
    <s v="DavidLee"/>
    <n v="38"/>
    <x v="0"/>
    <s v="Australian"/>
    <x v="0"/>
    <n v="900"/>
    <x v="0"/>
    <s v="Airway"/>
    <n v="600"/>
    <n v="1500"/>
  </r>
  <r>
    <n v="80"/>
    <s v="Bangkok"/>
    <x v="1"/>
    <s v="Asia"/>
    <d v="2024-05-15T00:00:00"/>
    <d v="2024-05-22T00:00:00"/>
    <n v="7"/>
    <s v="NanaKwon"/>
    <n v="27"/>
    <x v="1"/>
    <s v="Korean"/>
    <x v="0"/>
    <n v="400"/>
    <x v="0"/>
    <s v="Airway"/>
    <n v="400"/>
    <n v="800"/>
  </r>
  <r>
    <n v="81"/>
    <s v="NewYork"/>
    <x v="3"/>
    <s v="North America"/>
    <d v="2024-08-20T00:00:00"/>
    <d v="2024-08-27T00:00:00"/>
    <n v="7"/>
    <s v="TomHanks"/>
    <n v="60"/>
    <x v="0"/>
    <s v="American"/>
    <x v="0"/>
    <n v="1500"/>
    <x v="0"/>
    <s v="Airway"/>
    <n v="1000"/>
    <n v="2500"/>
  </r>
  <r>
    <n v="82"/>
    <s v="Phuket"/>
    <x v="1"/>
    <s v="Asia"/>
    <d v="2025-01-01T00:00:00"/>
    <d v="2025-08-01T00:00:00"/>
    <n v="7"/>
    <s v="EmmaWatson"/>
    <n v="32"/>
    <x v="1"/>
    <s v="British"/>
    <x v="1"/>
    <n v="700"/>
    <x v="0"/>
    <s v="Airway"/>
    <n v="800"/>
    <n v="1500"/>
  </r>
  <r>
    <n v="83"/>
    <s v="Rome"/>
    <x v="16"/>
    <s v="Europe"/>
    <d v="2025-04-15T00:00:00"/>
    <d v="2025-04-22T00:00:00"/>
    <n v="7"/>
    <s v="JamesKim"/>
    <n v="41"/>
    <x v="0"/>
    <s v="American"/>
    <x v="0"/>
    <n v="100"/>
    <x v="2"/>
    <s v="Roadway"/>
    <n v="50"/>
    <n v="150"/>
  </r>
  <r>
    <n v="84"/>
    <s v="Paris"/>
    <x v="5"/>
    <s v="Europe"/>
    <d v="2021-06-15T00:00:00"/>
    <d v="2021-06-20T00:00:00"/>
    <n v="6"/>
    <s v="JohnSmith"/>
    <n v="35"/>
    <x v="0"/>
    <s v="American"/>
    <x v="0"/>
    <n v="800"/>
    <x v="0"/>
    <s v="Airway"/>
    <n v="500"/>
    <n v="1300"/>
  </r>
  <r>
    <n v="85"/>
    <s v="Tokyo"/>
    <x v="4"/>
    <s v="Asia"/>
    <d v="2021-01-07T00:00:00"/>
    <d v="2021-10-07T00:00:00"/>
    <n v="10"/>
    <s v="SarahLee"/>
    <n v="28"/>
    <x v="1"/>
    <s v="Korean"/>
    <x v="3"/>
    <n v="500"/>
    <x v="1"/>
    <s v="Railway"/>
    <n v="300"/>
    <n v="800"/>
  </r>
  <r>
    <n v="86"/>
    <s v="Bali"/>
    <x v="2"/>
    <s v="Asia"/>
    <d v="2021-10-08T00:00:00"/>
    <d v="2021-08-20T00:00:00"/>
    <n v="11"/>
    <s v="MariaGarcia"/>
    <n v="42"/>
    <x v="1"/>
    <s v="Spanish"/>
    <x v="1"/>
    <n v="1200"/>
    <x v="0"/>
    <s v="Airway"/>
    <n v="700"/>
    <n v="1900"/>
  </r>
  <r>
    <n v="87"/>
    <s v="Sydney"/>
    <x v="6"/>
    <s v="Australia"/>
    <d v="2021-01-09T00:00:00"/>
    <d v="2021-10-09T00:00:00"/>
    <n v="9"/>
    <s v="DavidLee"/>
    <n v="45"/>
    <x v="0"/>
    <s v="Australian"/>
    <x v="0"/>
    <n v="900"/>
    <x v="0"/>
    <s v="Airway"/>
    <n v="600"/>
    <n v="1500"/>
  </r>
  <r>
    <n v="88"/>
    <s v="NewYork"/>
    <x v="3"/>
    <s v="North America"/>
    <d v="2021-10-15T00:00:00"/>
    <d v="2021-10-20T00:00:00"/>
    <n v="6"/>
    <s v="EmilyDavis"/>
    <n v="31"/>
    <x v="1"/>
    <s v="American"/>
    <x v="3"/>
    <n v="700"/>
    <x v="3"/>
    <s v="Roadway"/>
    <n v="200"/>
    <n v="900"/>
  </r>
  <r>
    <n v="89"/>
    <s v="London"/>
    <x v="0"/>
    <s v="Europe"/>
    <d v="2021-11-20T00:00:00"/>
    <d v="2021-11-30T00:00:00"/>
    <n v="11"/>
    <s v="JamesWilson"/>
    <n v="29"/>
    <x v="0"/>
    <s v="British"/>
    <x v="4"/>
    <n v="300"/>
    <x v="0"/>
    <s v="Airway"/>
    <n v="400"/>
    <n v="700"/>
  </r>
  <r>
    <n v="90"/>
    <s v="Dubai"/>
    <x v="9"/>
    <s v="Asia"/>
    <d v="2022-01-01T00:00:00"/>
    <d v="2022-08-01T00:00:00"/>
    <n v="8"/>
    <s v="FatimaAhmed"/>
    <n v="24"/>
    <x v="1"/>
    <s v="Emirati"/>
    <x v="0"/>
    <n v="1000"/>
    <x v="0"/>
    <s v="Airway"/>
    <n v="800"/>
    <n v="1800"/>
  </r>
  <r>
    <n v="91"/>
    <s v="Bangkok"/>
    <x v="1"/>
    <s v="Asia"/>
    <d v="2022-02-14T00:00:00"/>
    <d v="2022-02-20T00:00:00"/>
    <n v="7"/>
    <s v="LiamNguyen"/>
    <n v="26"/>
    <x v="0"/>
    <s v="Vietnamese"/>
    <x v="3"/>
    <n v="400"/>
    <x v="1"/>
    <s v="Railway"/>
    <n v="100"/>
    <n v="500"/>
  </r>
  <r>
    <n v="92"/>
    <s v="Rome"/>
    <x v="16"/>
    <s v="Europe"/>
    <d v="2022-10-03T00:00:00"/>
    <d v="2022-03-20T00:00:00"/>
    <n v="11"/>
    <s v="GiuliaRossi"/>
    <n v="30"/>
    <x v="1"/>
    <s v="Italian"/>
    <x v="4"/>
    <n v="200"/>
    <x v="0"/>
    <s v="Airway"/>
    <n v="350"/>
    <n v="550"/>
  </r>
  <r>
    <n v="93"/>
    <s v="Bali"/>
    <x v="2"/>
    <s v="Asia"/>
    <d v="2022-04-15T00:00:00"/>
    <d v="2022-04-25T00:00:00"/>
    <n v="11"/>
    <s v="PutraWijaya"/>
    <n v="33"/>
    <x v="0"/>
    <s v="Indonesian"/>
    <x v="2"/>
    <n v="1500"/>
    <x v="3"/>
    <s v="Roadway"/>
    <n v="300"/>
    <n v="1800"/>
  </r>
  <r>
    <n v="94"/>
    <s v="Seoul"/>
    <x v="20"/>
    <s v="Asia"/>
    <d v="2022-01-05T00:00:00"/>
    <d v="2022-10-05T00:00:00"/>
    <n v="10"/>
    <s v="KimMin/ji"/>
    <n v="27"/>
    <x v="1"/>
    <s v="Korean"/>
    <x v="0"/>
    <n v="800"/>
    <x v="1"/>
    <s v="Railway"/>
    <n v="150"/>
    <n v="950"/>
  </r>
  <r>
    <n v="95"/>
    <s v="Paris"/>
    <x v="5"/>
    <s v="Europe"/>
    <d v="2022-06-15T00:00:00"/>
    <d v="2022-06-20T00:00:00"/>
    <n v="5"/>
    <s v="JohnSmith"/>
    <n v="35"/>
    <x v="0"/>
    <s v="USA"/>
    <x v="0"/>
    <n v="500"/>
    <x v="0"/>
    <s v="Airway"/>
    <n v="800"/>
    <n v="1300"/>
  </r>
  <r>
    <n v="96"/>
    <s v="Tokyo"/>
    <x v="4"/>
    <s v="Asia"/>
    <d v="2022-01-09T00:00:00"/>
    <d v="2022-10-09T00:00:00"/>
    <n v="9"/>
    <s v="EmilyJohnson"/>
    <n v="28"/>
    <x v="1"/>
    <s v="Canada"/>
    <x v="3"/>
    <n v="400"/>
    <x v="1"/>
    <s v="Railway"/>
    <n v="200"/>
    <n v="600"/>
  </r>
  <r>
    <n v="97"/>
    <s v="Sydney"/>
    <x v="6"/>
    <s v="Australia"/>
    <d v="2022-11-23T00:00:00"/>
    <d v="2022-02-12T00:00:00"/>
    <n v="9"/>
    <s v="DavidLee"/>
    <n v="45"/>
    <x v="0"/>
    <s v="SouthKorea"/>
    <x v="4"/>
    <n v="200"/>
    <x v="0"/>
    <s v="Airway"/>
    <n v="1200"/>
    <n v="1400"/>
  </r>
  <r>
    <n v="98"/>
    <s v="London"/>
    <x v="0"/>
    <s v="Europe"/>
    <d v="2023-02-14T00:00:00"/>
    <d v="2023-02-19T00:00:00"/>
    <n v="5"/>
    <s v="SarahBrown"/>
    <n v="37"/>
    <x v="1"/>
    <s v="UK"/>
    <x v="0"/>
    <n v="600"/>
    <x v="0"/>
    <s v="Airway"/>
    <n v="700"/>
    <n v="1300"/>
  </r>
  <r>
    <n v="99"/>
    <s v="NewYork"/>
    <x v="3"/>
    <s v="North America"/>
    <d v="2023-08-05T00:00:00"/>
    <d v="2023-05-14T00:00:00"/>
    <n v="6"/>
    <s v="MichaelWong"/>
    <n v="50"/>
    <x v="0"/>
    <s v="China"/>
    <x v="3"/>
    <n v="800"/>
    <x v="3"/>
    <s v="Roadway"/>
    <n v="300"/>
    <n v="1100"/>
  </r>
  <r>
    <n v="100"/>
    <s v="Rome"/>
    <x v="16"/>
    <s v="Europe"/>
    <d v="2023-08-20T00:00:00"/>
    <d v="2023-08-27T00:00:00"/>
    <n v="7"/>
    <s v="JessicaChen"/>
    <n v="31"/>
    <x v="1"/>
    <s v="Taiwan"/>
    <x v="0"/>
    <n v="700"/>
    <x v="0"/>
    <s v="Airway"/>
    <n v="900"/>
    <n v="1600"/>
  </r>
  <r>
    <n v="101"/>
    <s v="Bangkok"/>
    <x v="1"/>
    <s v="Asia"/>
    <d v="2023-12-11T00:00:00"/>
    <d v="2023-11-20T00:00:00"/>
    <n v="8"/>
    <s v="KenTanaka"/>
    <n v="42"/>
    <x v="0"/>
    <s v="Japan"/>
    <x v="4"/>
    <n v="300"/>
    <x v="1"/>
    <s v="Railway"/>
    <n v="100"/>
    <n v="400"/>
  </r>
  <r>
    <n v="102"/>
    <s v="CapeTown"/>
    <x v="21"/>
    <s v="Africa"/>
    <d v="2024-06-01T00:00:00"/>
    <d v="2024-01-14T00:00:00"/>
    <n v="8"/>
    <s v="MariaGarcia"/>
    <n v="27"/>
    <x v="1"/>
    <s v="Spain"/>
    <x v="3"/>
    <n v="500"/>
    <x v="0"/>
    <s v="Airway"/>
    <n v="1500"/>
    <n v="2000"/>
  </r>
  <r>
    <n v="103"/>
    <s v="RiodeJaneiro"/>
    <x v="7"/>
    <s v="South America"/>
    <d v="2024-03-04T00:00:00"/>
    <d v="2024-10-04T00:00:00"/>
    <n v="7"/>
    <s v="RodrigoOliveira"/>
    <n v="33"/>
    <x v="0"/>
    <s v="Brazil"/>
    <x v="0"/>
    <n v="900"/>
    <x v="3"/>
    <s v="Roadway"/>
    <n v="400"/>
    <n v="1300"/>
  </r>
  <r>
    <n v="104"/>
    <s v="Bali"/>
    <x v="2"/>
    <s v="Asia"/>
    <d v="2024-07-22T00:00:00"/>
    <d v="2024-07-28T00:00:00"/>
    <n v="6"/>
    <s v="OliviaKim"/>
    <n v="29"/>
    <x v="1"/>
    <s v="SouthKorea"/>
    <x v="2"/>
    <n v="1200"/>
    <x v="0"/>
    <s v="Airway"/>
    <n v="1000"/>
    <n v="2200"/>
  </r>
  <r>
    <n v="105"/>
    <s v="Amsterdam"/>
    <x v="8"/>
    <s v="Europe"/>
    <d v="2024-10-10T00:00:00"/>
    <d v="2024-10-17T00:00:00"/>
    <n v="7"/>
    <s v="RobertMueller"/>
    <n v="41"/>
    <x v="0"/>
    <s v="Germany"/>
    <x v="0"/>
    <n v="600"/>
    <x v="1"/>
    <s v="Railway"/>
    <n v="150"/>
    <n v="750"/>
  </r>
  <r>
    <n v="106"/>
    <s v="Paris"/>
    <x v="5"/>
    <s v="Europe"/>
    <d v="2022-05-15T00:00:00"/>
    <d v="2022-05-20T00:00:00"/>
    <n v="5"/>
    <s v="JohnSmith"/>
    <n v="35"/>
    <x v="0"/>
    <s v="USA"/>
    <x v="0"/>
    <n v="1000"/>
    <x v="0"/>
    <s v="Airway"/>
    <n v="800"/>
    <n v="1800"/>
  </r>
  <r>
    <n v="107"/>
    <s v="Tokyo"/>
    <x v="4"/>
    <s v="Asia"/>
    <d v="2022-01-09T00:00:00"/>
    <d v="2022-10-09T00:00:00"/>
    <n v="9"/>
    <s v="SarahLee"/>
    <n v="28"/>
    <x v="1"/>
    <s v="SouthKorea"/>
    <x v="3"/>
    <n v="800"/>
    <x v="1"/>
    <s v="Railway"/>
    <n v="500"/>
    <n v="1300"/>
  </r>
  <r>
    <n v="108"/>
    <s v="NewYork"/>
    <x v="3"/>
    <s v="North America"/>
    <d v="2022-06-20T00:00:00"/>
    <d v="2022-06-25T00:00:00"/>
    <n v="5"/>
    <s v="MichaelWong"/>
    <n v="42"/>
    <x v="0"/>
    <s v="HongKong"/>
    <x v="0"/>
    <n v="1200"/>
    <x v="3"/>
    <s v="Roadway"/>
    <n v="200"/>
    <n v="1400"/>
  </r>
  <r>
    <n v="109"/>
    <s v="Bali"/>
    <x v="2"/>
    <s v="Asia"/>
    <d v="2022-12-08T00:00:00"/>
    <d v="2022-08-20T00:00:00"/>
    <n v="8"/>
    <s v="LisaChen"/>
    <n v="30"/>
    <x v="1"/>
    <s v="Taiwan"/>
    <x v="1"/>
    <n v="1500"/>
    <x v="0"/>
    <s v="Airway"/>
    <n v="1200"/>
    <n v="2700"/>
  </r>
  <r>
    <n v="110"/>
    <s v="Sydney"/>
    <x v="6"/>
    <s v="Australia"/>
    <d v="2022-01-07T00:00:00"/>
    <d v="2022-10-07T00:00:00"/>
    <n v="9"/>
    <s v="DavidKim"/>
    <n v="26"/>
    <x v="0"/>
    <s v="Canada"/>
    <x v="4"/>
    <n v="300"/>
    <x v="0"/>
    <s v="Airway"/>
    <n v="900"/>
    <n v="1200"/>
  </r>
  <r>
    <n v="111"/>
    <s v="London"/>
    <x v="0"/>
    <s v="Europe"/>
    <d v="2022-10-06T00:00:00"/>
    <d v="2022-06-15T00:00:00"/>
    <n v="5"/>
    <s v="EmilyWong"/>
    <n v="38"/>
    <x v="1"/>
    <s v="UnitedKingdom"/>
    <x v="0"/>
    <n v="900"/>
    <x v="1"/>
    <s v="Railway"/>
    <n v="150"/>
    <n v="1050"/>
  </r>
  <r>
    <n v="112"/>
    <s v="Phuket"/>
    <x v="1"/>
    <s v="Asia"/>
    <d v="2022-05-09T00:00:00"/>
    <d v="2022-12-09T00:00:00"/>
    <n v="7"/>
    <s v="MarkTan"/>
    <n v="45"/>
    <x v="0"/>
    <s v="Singapore"/>
    <x v="2"/>
    <n v="2000"/>
    <x v="0"/>
    <s v="Airway"/>
    <n v="700"/>
    <n v="2700"/>
  </r>
  <r>
    <n v="113"/>
    <s v="Rome"/>
    <x v="16"/>
    <s v="Europe"/>
    <d v="2022-01-05T00:00:00"/>
    <d v="2022-08-05T00:00:00"/>
    <n v="7"/>
    <s v="EmmaLee"/>
    <n v="31"/>
    <x v="1"/>
    <s v="Italy"/>
    <x v="0"/>
    <n v="1100"/>
    <x v="1"/>
    <s v="Railway"/>
    <n v="250"/>
    <n v="1350"/>
  </r>
  <r>
    <n v="114"/>
    <s v="Santorini"/>
    <x v="17"/>
    <s v="Europe"/>
    <d v="2022-07-15T00:00:00"/>
    <d v="2022-07-22T00:00:00"/>
    <n v="7"/>
    <s v="GeorgeChen"/>
    <n v="27"/>
    <x v="0"/>
    <s v="Greece"/>
    <x v="3"/>
    <n v="1000"/>
    <x v="6"/>
    <s v="Waterway"/>
    <n v="150"/>
    <n v="1150"/>
  </r>
  <r>
    <n v="115"/>
    <s v="Dubai"/>
    <x v="9"/>
    <s v="Asia"/>
    <d v="2022-08-25T00:00:00"/>
    <d v="2022-08-30T00:00:00"/>
    <n v="5"/>
    <s v="SophiaKim"/>
    <n v="29"/>
    <x v="1"/>
    <s v="UnitedArabEmirates"/>
    <x v="0"/>
    <n v="1500"/>
    <x v="3"/>
    <s v="Roadway"/>
    <n v="300"/>
    <n v="1800"/>
  </r>
  <r>
    <n v="116"/>
    <s v="PhnomPenh"/>
    <x v="22"/>
    <s v="Asia"/>
    <d v="2022-10-09T00:00:00"/>
    <d v="2022-09-15T00:00:00"/>
    <n v="5"/>
    <s v="AlexNg"/>
    <n v="33"/>
    <x v="0"/>
    <s v="Cambodia"/>
    <x v="4"/>
    <n v="200"/>
    <x v="0"/>
    <s v="Airway"/>
    <n v="500"/>
    <n v="700"/>
  </r>
  <r>
    <n v="117"/>
    <s v="Tokyo"/>
    <x v="4"/>
    <s v="Asia"/>
    <d v="2022-05-02T00:00:00"/>
    <d v="2022-02-14T00:00:00"/>
    <n v="9"/>
    <s v="AliceSmith"/>
    <n v="32"/>
    <x v="1"/>
    <s v="American"/>
    <x v="0"/>
    <n v="1000"/>
    <x v="0"/>
    <s v="Airway"/>
    <n v="700"/>
    <n v="1700"/>
  </r>
  <r>
    <n v="118"/>
    <s v="Paris"/>
    <x v="5"/>
    <s v="Europe"/>
    <d v="2022-03-15T00:00:00"/>
    <d v="2022-03-22T00:00:00"/>
    <n v="7"/>
    <s v="BobJohnson"/>
    <n v="47"/>
    <x v="0"/>
    <s v="Canadian"/>
    <x v="0"/>
    <n v="1200"/>
    <x v="1"/>
    <s v="Railway"/>
    <n v="500"/>
    <n v="1700"/>
  </r>
  <r>
    <n v="119"/>
    <s v="Sydney"/>
    <x v="6"/>
    <s v="Australia"/>
    <d v="2022-01-05T00:00:00"/>
    <d v="2022-12-05T00:00:00"/>
    <n v="11"/>
    <s v="CindyChen"/>
    <n v="26"/>
    <x v="1"/>
    <s v="Chinese"/>
    <x v="3"/>
    <n v="800"/>
    <x v="0"/>
    <s v="Airway"/>
    <n v="1000"/>
    <n v="1800"/>
  </r>
  <r>
    <n v="120"/>
    <s v="Rome"/>
    <x v="16"/>
    <s v="Europe"/>
    <d v="2022-10-06T00:00:00"/>
    <d v="2022-06-17T00:00:00"/>
    <n v="7"/>
    <s v="DavidLee"/>
    <n v="38"/>
    <x v="0"/>
    <s v="Korean"/>
    <x v="0"/>
    <n v="900"/>
    <x v="1"/>
    <s v="Railway"/>
    <n v="400"/>
    <n v="1300"/>
  </r>
  <r>
    <n v="121"/>
    <s v="Bali"/>
    <x v="2"/>
    <s v="Asia"/>
    <d v="2022-07-20T00:00:00"/>
    <d v="2022-07-30T00:00:00"/>
    <n v="10"/>
    <s v="EmilyKim"/>
    <n v="29"/>
    <x v="1"/>
    <s v="Korean"/>
    <x v="4"/>
    <n v="500"/>
    <x v="0"/>
    <s v="Airway"/>
    <n v="800"/>
    <n v="1300"/>
  </r>
  <r>
    <n v="122"/>
    <s v="Cancun"/>
    <x v="10"/>
    <s v="North America"/>
    <d v="2022-08-08T00:00:00"/>
    <d v="2022-08-16T00:00:00"/>
    <n v="8"/>
    <s v="FrankLi"/>
    <n v="41"/>
    <x v="0"/>
    <s v="American"/>
    <x v="0"/>
    <n v="1300"/>
    <x v="0"/>
    <s v="Airway"/>
    <n v="600"/>
    <n v="1900"/>
  </r>
  <r>
    <n v="123"/>
    <s v="Athens"/>
    <x v="17"/>
    <s v="Europe"/>
    <d v="2022-09-20T00:00:00"/>
    <d v="2022-09-30T00:00:00"/>
    <n v="10"/>
    <s v="GinaLee"/>
    <n v="35"/>
    <x v="1"/>
    <s v="Korean"/>
    <x v="3"/>
    <n v="700"/>
    <x v="0"/>
    <s v="Airway"/>
    <n v="900"/>
    <n v="1600"/>
  </r>
  <r>
    <n v="124"/>
    <s v="Tokyo"/>
    <x v="4"/>
    <s v="Asia"/>
    <d v="2022-05-10T00:00:00"/>
    <d v="2022-10-13T00:00:00"/>
    <n v="8"/>
    <s v="HenryKim"/>
    <n v="24"/>
    <x v="0"/>
    <s v="Korean"/>
    <x v="0"/>
    <n v="1200"/>
    <x v="0"/>
    <s v="Airway"/>
    <n v="700"/>
    <n v="1900"/>
  </r>
  <r>
    <n v="125"/>
    <s v="Sydney"/>
    <x v="6"/>
    <s v="Australia"/>
    <d v="2022-11-11T00:00:00"/>
    <d v="2022-11-21T00:00:00"/>
    <n v="10"/>
    <s v="IsabellaChen"/>
    <n v="30"/>
    <x v="1"/>
    <s v="Chinese"/>
    <x v="3"/>
    <n v="900"/>
    <x v="0"/>
    <s v="Airway"/>
    <n v="1000"/>
    <n v="1900"/>
  </r>
  <r>
    <n v="126"/>
    <s v="Paris"/>
    <x v="5"/>
    <s v="Europe"/>
    <d v="2022-12-24T00:00:00"/>
    <d v="2023-01-01T00:00:00"/>
    <n v="8"/>
    <s v="JackSmith"/>
    <n v="28"/>
    <x v="0"/>
    <s v="American"/>
    <x v="4"/>
    <n v="400"/>
    <x v="0"/>
    <s v="Airway"/>
    <n v="700"/>
    <n v="1100"/>
  </r>
  <r>
    <n v="127"/>
    <s v="Bali"/>
    <x v="2"/>
    <s v="Asia"/>
    <d v="2023-10-02T00:00:00"/>
    <d v="2024-02-18T00:00:00"/>
    <n v="8"/>
    <s v="KatieJohnson"/>
    <n v="33"/>
    <x v="1"/>
    <s v="Canadian"/>
    <x v="0"/>
    <n v="800"/>
    <x v="0"/>
    <s v="Airway"/>
    <n v="800"/>
    <n v="1600"/>
  </r>
  <r>
    <n v="128"/>
    <s v="Paris"/>
    <x v="5"/>
    <s v="Europe"/>
    <d v="2023-01-05T00:00:00"/>
    <d v="2023-07-05T00:00:00"/>
    <n v="6"/>
    <s v="JohnDoe"/>
    <n v="35"/>
    <x v="0"/>
    <s v="American"/>
    <x v="0"/>
    <n v="5000"/>
    <x v="0"/>
    <s v="Airway"/>
    <n v="1000"/>
    <n v="6000"/>
  </r>
  <r>
    <n v="129"/>
    <s v="Tokyo"/>
    <x v="4"/>
    <s v="Asia"/>
    <d v="2023-05-15T00:00:00"/>
    <d v="2023-05-22T00:00:00"/>
    <n v="7"/>
    <s v="JaneSmith"/>
    <n v="28"/>
    <x v="1"/>
    <s v="British"/>
    <x v="3"/>
    <n v="7000"/>
    <x v="1"/>
    <s v="Railway"/>
    <n v="1500"/>
    <n v="8500"/>
  </r>
  <r>
    <n v="130"/>
    <s v="CapeTown"/>
    <x v="21"/>
    <s v="Africa"/>
    <d v="2023-01-06T00:00:00"/>
    <d v="2023-10-06T00:00:00"/>
    <n v="9"/>
    <s v="MichaelJohnson"/>
    <n v="45"/>
    <x v="0"/>
    <s v="SouthAfrican"/>
    <x v="4"/>
    <n v="3000"/>
    <x v="5"/>
    <s v="Roadway"/>
    <n v="2000"/>
    <n v="5000"/>
  </r>
  <r>
    <n v="131"/>
    <s v="Sydney"/>
    <x v="6"/>
    <s v="Australia"/>
    <d v="2023-06-15T00:00:00"/>
    <d v="2023-06-21T00:00:00"/>
    <n v="6"/>
    <s v="SarahLee"/>
    <n v="31"/>
    <x v="1"/>
    <s v="Australian"/>
    <x v="0"/>
    <n v="6000"/>
    <x v="0"/>
    <s v="Airway"/>
    <n v="300"/>
    <n v="6300"/>
  </r>
  <r>
    <n v="132"/>
    <s v="Rome"/>
    <x v="16"/>
    <s v="Europe"/>
    <d v="2023-01-07T00:00:00"/>
    <d v="2023-08-07T00:00:00"/>
    <n v="7"/>
    <s v="DavidKim"/>
    <n v="42"/>
    <x v="0"/>
    <s v="Korean"/>
    <x v="3"/>
    <n v="4000"/>
    <x v="1"/>
    <s v="Railway"/>
    <n v="1500"/>
    <n v="5500"/>
  </r>
  <r>
    <n v="133"/>
    <s v="NewYorkCity"/>
    <x v="3"/>
    <s v="North America"/>
    <d v="2023-07-15T00:00:00"/>
    <d v="2023-07-22T00:00:00"/>
    <n v="7"/>
    <s v="EmilyDavis"/>
    <n v="27"/>
    <x v="1"/>
    <s v="American"/>
    <x v="0"/>
    <n v="6500"/>
    <x v="0"/>
    <s v="Airway"/>
    <n v="500"/>
    <n v="7000"/>
  </r>
  <r>
    <n v="134"/>
    <s v="RiodeJaneiro"/>
    <x v="7"/>
    <s v="South America"/>
    <d v="2023-01-08T00:00:00"/>
    <d v="2023-10-08T00:00:00"/>
    <n v="9"/>
    <s v="JosePerez"/>
    <n v="37"/>
    <x v="0"/>
    <s v="Brazilian"/>
    <x v="4"/>
    <n v="2500"/>
    <x v="5"/>
    <s v="Roadway"/>
    <n v="2000"/>
    <n v="4500"/>
  </r>
  <r>
    <n v="135"/>
    <s v="Vancouver"/>
    <x v="19"/>
    <s v="North America"/>
    <d v="2023-08-15T00:00:00"/>
    <d v="2023-08-21T00:00:00"/>
    <n v="6"/>
    <s v="EmmaWilson"/>
    <n v="29"/>
    <x v="1"/>
    <s v="Canadian"/>
    <x v="0"/>
    <n v="5000"/>
    <x v="0"/>
    <s v="Airway"/>
    <n v="3000"/>
    <n v="8000"/>
  </r>
  <r>
    <n v="136"/>
    <s v="Bangkok"/>
    <x v="1"/>
    <s v="Asia"/>
    <d v="2023-01-09T00:00:00"/>
    <d v="2023-08-09T00:00:00"/>
    <n v="7"/>
    <s v="RyanChen"/>
    <n v="34"/>
    <x v="0"/>
    <s v="Chinese"/>
    <x v="4"/>
    <n v="2000"/>
    <x v="1"/>
    <s v="Railway"/>
    <n v="1000"/>
    <n v="3000"/>
  </r>
  <r>
    <n v="137"/>
    <s v="Barcelona"/>
    <x v="11"/>
    <s v="Europe"/>
    <d v="2023-09-15T00:00:00"/>
    <d v="2023-09-22T00:00:00"/>
    <n v="7"/>
    <s v="SofiaRodriguez"/>
    <n v="25"/>
    <x v="1"/>
    <s v="Spanish"/>
    <x v="3"/>
    <n v="600"/>
    <x v="0"/>
    <s v="Airway"/>
    <n v="300"/>
    <n v="900"/>
  </r>
  <r>
    <n v="138"/>
    <s v="Auckland"/>
    <x v="23"/>
    <s v="Australia"/>
    <d v="2023-01-10T00:00:00"/>
    <d v="2023-08-10T00:00:00"/>
    <n v="7"/>
    <s v="WilliamBrown"/>
    <n v="39"/>
    <x v="0"/>
    <s v="NewZealander"/>
    <x v="0"/>
    <n v="7000"/>
    <x v="1"/>
    <s v="Railway"/>
    <n v="2500"/>
    <n v="95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7">
  <r>
    <n v="1"/>
    <x v="0"/>
    <s v="UK"/>
    <x v="0"/>
    <x v="0"/>
    <x v="0"/>
    <x v="0"/>
    <s v="John Smith"/>
    <n v="35"/>
    <s v="Male"/>
    <s v="American"/>
    <x v="0"/>
    <n v="1200"/>
    <x v="0"/>
    <x v="0"/>
    <n v="600"/>
    <n v="1800"/>
  </r>
  <r>
    <n v="2"/>
    <x v="1"/>
    <s v="Thailand"/>
    <x v="1"/>
    <x v="1"/>
    <x v="1"/>
    <x v="1"/>
    <s v="Jane Doe"/>
    <n v="28"/>
    <s v="Female"/>
    <s v="Canadian"/>
    <x v="1"/>
    <n v="800"/>
    <x v="0"/>
    <x v="0"/>
    <n v="500"/>
    <n v="1300"/>
  </r>
  <r>
    <n v="3"/>
    <x v="2"/>
    <s v="Indonesia"/>
    <x v="1"/>
    <x v="2"/>
    <x v="2"/>
    <x v="0"/>
    <s v="David Lee"/>
    <n v="45"/>
    <s v="Male"/>
    <s v="Korean"/>
    <x v="2"/>
    <n v="1000"/>
    <x v="0"/>
    <x v="0"/>
    <n v="700"/>
    <n v="1700"/>
  </r>
  <r>
    <n v="4"/>
    <x v="3"/>
    <s v="USA"/>
    <x v="2"/>
    <x v="3"/>
    <x v="3"/>
    <x v="2"/>
    <s v="Sarah Johnson"/>
    <n v="29"/>
    <s v="Female"/>
    <s v="British"/>
    <x v="0"/>
    <n v="2000"/>
    <x v="0"/>
    <x v="0"/>
    <n v="1000"/>
    <n v="3000"/>
  </r>
  <r>
    <n v="5"/>
    <x v="4"/>
    <s v="Japan"/>
    <x v="1"/>
    <x v="4"/>
    <x v="4"/>
    <x v="0"/>
    <s v="Kim Nguyen"/>
    <n v="26"/>
    <s v="Female"/>
    <s v="Vietnamese"/>
    <x v="3"/>
    <n v="700"/>
    <x v="1"/>
    <x v="1"/>
    <n v="200"/>
    <n v="900"/>
  </r>
  <r>
    <n v="6"/>
    <x v="5"/>
    <s v="France"/>
    <x v="0"/>
    <x v="5"/>
    <x v="5"/>
    <x v="1"/>
    <s v="Michael Brown"/>
    <n v="42"/>
    <s v="Male"/>
    <s v="American"/>
    <x v="0"/>
    <n v="1500"/>
    <x v="0"/>
    <x v="0"/>
    <n v="800"/>
    <n v="2300"/>
  </r>
  <r>
    <n v="7"/>
    <x v="6"/>
    <s v="Australia"/>
    <x v="3"/>
    <x v="6"/>
    <x v="6"/>
    <x v="3"/>
    <s v="Emily Davis"/>
    <n v="33"/>
    <s v="Female"/>
    <s v="Australian"/>
    <x v="4"/>
    <n v="500"/>
    <x v="0"/>
    <x v="0"/>
    <n v="1200"/>
    <n v="1700"/>
  </r>
  <r>
    <n v="8"/>
    <x v="7"/>
    <s v="Brazil"/>
    <x v="4"/>
    <x v="7"/>
    <x v="7"/>
    <x v="0"/>
    <s v="Lucas Santos"/>
    <n v="25"/>
    <s v="Male"/>
    <s v="Brazilian"/>
    <x v="3"/>
    <n v="900"/>
    <x v="0"/>
    <x v="0"/>
    <n v="600"/>
    <n v="1500"/>
  </r>
  <r>
    <n v="9"/>
    <x v="8"/>
    <s v="Netherlands"/>
    <x v="0"/>
    <x v="8"/>
    <x v="8"/>
    <x v="0"/>
    <s v="Laura Janssen"/>
    <n v="31"/>
    <s v="Female"/>
    <s v="Dutch"/>
    <x v="0"/>
    <n v="1200"/>
    <x v="1"/>
    <x v="1"/>
    <n v="200"/>
    <n v="1400"/>
  </r>
  <r>
    <n v="10"/>
    <x v="9"/>
    <s v="United Arab Emirates"/>
    <x v="1"/>
    <x v="9"/>
    <x v="9"/>
    <x v="0"/>
    <s v="Mohammed Ali"/>
    <n v="39"/>
    <s v="Male"/>
    <s v="Emirati"/>
    <x v="1"/>
    <n v="2500"/>
    <x v="0"/>
    <x v="0"/>
    <n v="800"/>
    <n v="3300"/>
  </r>
  <r>
    <n v="11"/>
    <x v="10"/>
    <s v="Mexico"/>
    <x v="2"/>
    <x v="10"/>
    <x v="10"/>
    <x v="0"/>
    <s v="Ana Hernandez"/>
    <n v="27"/>
    <s v="Female"/>
    <s v="Mexican"/>
    <x v="0"/>
    <n v="1000"/>
    <x v="0"/>
    <x v="0"/>
    <n v="500"/>
    <n v="1500"/>
  </r>
  <r>
    <n v="12"/>
    <x v="11"/>
    <s v="Spain"/>
    <x v="0"/>
    <x v="11"/>
    <x v="11"/>
    <x v="0"/>
    <s v="Carlos Garcia"/>
    <n v="36"/>
    <s v="Male"/>
    <s v="Spanish"/>
    <x v="3"/>
    <n v="800"/>
    <x v="1"/>
    <x v="1"/>
    <n v="100"/>
    <n v="900"/>
  </r>
  <r>
    <n v="13"/>
    <x v="12"/>
    <s v="Hawaii"/>
    <x v="2"/>
    <x v="12"/>
    <x v="12"/>
    <x v="4"/>
    <s v="Lily Wong"/>
    <n v="29"/>
    <s v="Female"/>
    <s v="Chinese"/>
    <x v="1"/>
    <n v="3000"/>
    <x v="0"/>
    <x v="0"/>
    <n v="1200"/>
    <n v="4200"/>
  </r>
  <r>
    <n v="14"/>
    <x v="13"/>
    <s v="Germany"/>
    <x v="0"/>
    <x v="13"/>
    <x v="13"/>
    <x v="5"/>
    <s v="Hans Mueller"/>
    <n v="48"/>
    <s v="Male"/>
    <s v="German"/>
    <x v="0"/>
    <n v="1400"/>
    <x v="0"/>
    <x v="0"/>
    <n v="700"/>
    <n v="2100"/>
  </r>
  <r>
    <n v="15"/>
    <x v="14"/>
    <s v="Morocco"/>
    <x v="5"/>
    <x v="14"/>
    <x v="14"/>
    <x v="0"/>
    <s v="Fatima Khouri"/>
    <n v="26"/>
    <s v="Female"/>
    <s v="Moroccan"/>
    <x v="5"/>
    <n v="600"/>
    <x v="0"/>
    <x v="0"/>
    <n v="400"/>
    <n v="1000"/>
  </r>
  <r>
    <n v="16"/>
    <x v="15"/>
    <s v="Scotland"/>
    <x v="0"/>
    <x v="15"/>
    <x v="15"/>
    <x v="0"/>
    <s v="James MacKenzie"/>
    <n v="32"/>
    <s v="Male"/>
    <s v="Scottish"/>
    <x v="0"/>
    <n v="900"/>
    <x v="1"/>
    <x v="1"/>
    <n v="150"/>
    <n v="1050"/>
  </r>
  <r>
    <n v="17"/>
    <x v="5"/>
    <s v="France"/>
    <x v="0"/>
    <x v="16"/>
    <x v="16"/>
    <x v="5"/>
    <s v="Sarah Johnson"/>
    <n v="30"/>
    <s v="Female"/>
    <s v="American"/>
    <x v="0"/>
    <n v="900"/>
    <x v="0"/>
    <x v="0"/>
    <n v="400"/>
    <n v="1300"/>
  </r>
  <r>
    <n v="18"/>
    <x v="2"/>
    <s v="Indonesia"/>
    <x v="1"/>
    <x v="3"/>
    <x v="17"/>
    <x v="3"/>
    <s v="Michael Chang"/>
    <n v="28"/>
    <s v="Male"/>
    <s v="Chinese"/>
    <x v="1"/>
    <n v="1500"/>
    <x v="0"/>
    <x v="0"/>
    <n v="700"/>
    <n v="2200"/>
  </r>
  <r>
    <n v="19"/>
    <x v="0"/>
    <s v="UK"/>
    <x v="0"/>
    <x v="17"/>
    <x v="18"/>
    <x v="6"/>
    <s v="Olivia Rodriguez"/>
    <n v="35"/>
    <s v="Female"/>
    <s v="British"/>
    <x v="0"/>
    <n v="1200"/>
    <x v="1"/>
    <x v="1"/>
    <n v="150"/>
    <n v="1350"/>
  </r>
  <r>
    <n v="20"/>
    <x v="4"/>
    <s v="Japan"/>
    <x v="1"/>
    <x v="5"/>
    <x v="19"/>
    <x v="3"/>
    <s v="Kenji Nakamura"/>
    <n v="45"/>
    <s v="Male"/>
    <s v="Japanese"/>
    <x v="0"/>
    <n v="1200"/>
    <x v="0"/>
    <x v="0"/>
    <n v="800"/>
    <n v="2000"/>
  </r>
  <r>
    <n v="21"/>
    <x v="3"/>
    <s v="USA"/>
    <x v="2"/>
    <x v="6"/>
    <x v="20"/>
    <x v="1"/>
    <s v="Emily Lee"/>
    <n v="27"/>
    <s v="Female"/>
    <s v="American"/>
    <x v="3"/>
    <n v="600"/>
    <x v="2"/>
    <x v="2"/>
    <n v="100"/>
    <n v="700"/>
  </r>
  <r>
    <n v="22"/>
    <x v="6"/>
    <s v="Australia"/>
    <x v="3"/>
    <x v="18"/>
    <x v="21"/>
    <x v="0"/>
    <s v="James Wilson"/>
    <n v="32"/>
    <s v="Male"/>
    <s v="Australian"/>
    <x v="0"/>
    <n v="1000"/>
    <x v="0"/>
    <x v="0"/>
    <n v="600"/>
    <n v="1600"/>
  </r>
  <r>
    <n v="23"/>
    <x v="16"/>
    <s v="Italy"/>
    <x v="0"/>
    <x v="19"/>
    <x v="22"/>
    <x v="0"/>
    <s v="Sofia Russo"/>
    <n v="29"/>
    <s v="Female"/>
    <s v="Italian"/>
    <x v="3"/>
    <n v="700"/>
    <x v="1"/>
    <x v="1"/>
    <n v="80"/>
    <n v="780"/>
  </r>
  <r>
    <n v="24"/>
    <x v="17"/>
    <s v="Thailand"/>
    <x v="1"/>
    <x v="20"/>
    <x v="23"/>
    <x v="4"/>
    <s v="Raj Patel"/>
    <n v="40"/>
    <s v="Male"/>
    <s v="Indian"/>
    <x v="4"/>
    <n v="400"/>
    <x v="0"/>
    <x v="0"/>
    <n v="500"/>
    <n v="900"/>
  </r>
  <r>
    <n v="25"/>
    <x v="5"/>
    <s v="France"/>
    <x v="0"/>
    <x v="21"/>
    <x v="24"/>
    <x v="6"/>
    <s v="Lily Nguyen"/>
    <n v="24"/>
    <s v="Female"/>
    <s v="Vietnamese"/>
    <x v="0"/>
    <n v="1400"/>
    <x v="1"/>
    <x v="1"/>
    <n v="100"/>
    <n v="1500"/>
  </r>
  <r>
    <n v="26"/>
    <x v="18"/>
    <s v="USA"/>
    <x v="2"/>
    <x v="22"/>
    <x v="25"/>
    <x v="5"/>
    <s v="David Kim"/>
    <n v="34"/>
    <s v="Male"/>
    <s v="Korean"/>
    <x v="1"/>
    <n v="2000"/>
    <x v="0"/>
    <x v="0"/>
    <n v="800"/>
    <n v="2800"/>
  </r>
  <r>
    <n v="27"/>
    <x v="11"/>
    <s v="Spain"/>
    <x v="0"/>
    <x v="23"/>
    <x v="26"/>
    <x v="4"/>
    <s v="Maria Garcia"/>
    <n v="31"/>
    <s v="Female"/>
    <s v="Spanish"/>
    <x v="0"/>
    <n v="1100"/>
    <x v="1"/>
    <x v="1"/>
    <n v="150"/>
    <n v="1250"/>
  </r>
  <r>
    <n v="28"/>
    <x v="4"/>
    <s v="Japan"/>
    <x v="1"/>
    <x v="24"/>
    <x v="27"/>
    <x v="4"/>
    <s v="Alice Smith"/>
    <n v="30"/>
    <s v="Female"/>
    <s v="American"/>
    <x v="0"/>
    <n v="800"/>
    <x v="0"/>
    <x v="0"/>
    <n v="500"/>
    <n v="1300"/>
  </r>
  <r>
    <n v="29"/>
    <x v="1"/>
    <s v="Thailand"/>
    <x v="1"/>
    <x v="25"/>
    <x v="28"/>
    <x v="0"/>
    <s v="Bob Johnson"/>
    <n v="45"/>
    <s v="Male"/>
    <s v="Canadian"/>
    <x v="4"/>
    <n v="200"/>
    <x v="1"/>
    <x v="1"/>
    <n v="150"/>
    <n v="350"/>
  </r>
  <r>
    <n v="30"/>
    <x v="5"/>
    <s v="France"/>
    <x v="0"/>
    <x v="26"/>
    <x v="29"/>
    <x v="5"/>
    <s v="Charlie Lee"/>
    <n v="25"/>
    <s v="Male"/>
    <s v="Korean"/>
    <x v="3"/>
    <n v="600"/>
    <x v="3"/>
    <x v="2"/>
    <n v="300"/>
    <n v="900"/>
  </r>
  <r>
    <n v="31"/>
    <x v="6"/>
    <s v="Australia"/>
    <x v="3"/>
    <x v="27"/>
    <x v="30"/>
    <x v="7"/>
    <s v="Emma Davis"/>
    <n v="28"/>
    <s v="Female"/>
    <s v="British"/>
    <x v="0"/>
    <n v="1000"/>
    <x v="3"/>
    <x v="2"/>
    <n v="500"/>
    <n v="1500"/>
  </r>
  <r>
    <n v="32"/>
    <x v="7"/>
    <s v="Brazil"/>
    <x v="4"/>
    <x v="28"/>
    <x v="31"/>
    <x v="5"/>
    <s v="Olivia Martin"/>
    <n v="33"/>
    <s v="Female"/>
    <s v="Australian"/>
    <x v="4"/>
    <n v="150"/>
    <x v="2"/>
    <x v="2"/>
    <n v="50"/>
    <n v="200"/>
  </r>
  <r>
    <n v="33"/>
    <x v="19"/>
    <s v="Greece"/>
    <x v="0"/>
    <x v="29"/>
    <x v="32"/>
    <x v="4"/>
    <s v="Harry Wilson"/>
    <n v="20"/>
    <s v="Male"/>
    <s v="American"/>
    <x v="3"/>
    <n v="400"/>
    <x v="0"/>
    <x v="0"/>
    <n v="600"/>
    <n v="1000"/>
  </r>
  <r>
    <n v="34"/>
    <x v="20"/>
    <s v="Egypt"/>
    <x v="5"/>
    <x v="30"/>
    <x v="33"/>
    <x v="0"/>
    <s v="Sophia Lee"/>
    <n v="37"/>
    <s v="Female"/>
    <s v="Canadian"/>
    <x v="0"/>
    <n v="700"/>
    <x v="1"/>
    <x v="1"/>
    <n v="100"/>
    <n v="800"/>
  </r>
  <r>
    <n v="35"/>
    <x v="10"/>
    <s v="Mexico"/>
    <x v="2"/>
    <x v="31"/>
    <x v="34"/>
    <x v="3"/>
    <s v="James Brown"/>
    <n v="42"/>
    <s v="Male"/>
    <s v="British"/>
    <x v="3"/>
    <n v="500"/>
    <x v="0"/>
    <x v="0"/>
    <n v="800"/>
    <n v="1300"/>
  </r>
  <r>
    <n v="36"/>
    <x v="16"/>
    <s v="Italy"/>
    <x v="0"/>
    <x v="32"/>
    <x v="35"/>
    <x v="6"/>
    <s v="Mia Johnson"/>
    <n v="31"/>
    <s v="Female"/>
    <s v="American"/>
    <x v="4"/>
    <n v="180"/>
    <x v="1"/>
    <x v="1"/>
    <n v="120"/>
    <n v="300"/>
  </r>
  <r>
    <n v="37"/>
    <x v="11"/>
    <s v="Spain"/>
    <x v="0"/>
    <x v="33"/>
    <x v="36"/>
    <x v="4"/>
    <s v="William Davis"/>
    <n v="27"/>
    <s v="Male"/>
    <s v="Korean"/>
    <x v="0"/>
    <n v="900"/>
    <x v="3"/>
    <x v="2"/>
    <n v="400"/>
    <n v="1300"/>
  </r>
  <r>
    <n v="38"/>
    <x v="21"/>
    <s v="Canada"/>
    <x v="2"/>
    <x v="34"/>
    <x v="37"/>
    <x v="0"/>
    <s v="Amelia Brown"/>
    <n v="38"/>
    <s v="Female"/>
    <s v="Australian"/>
    <x v="3"/>
    <n v="350"/>
    <x v="2"/>
    <x v="2"/>
    <n v="75"/>
    <n v="425"/>
  </r>
  <r>
    <n v="39"/>
    <x v="5"/>
    <s v="France"/>
    <x v="0"/>
    <x v="35"/>
    <x v="38"/>
    <x v="0"/>
    <s v="Mia Johnson"/>
    <n v="25"/>
    <s v="Female"/>
    <s v="American"/>
    <x v="0"/>
    <n v="1400"/>
    <x v="0"/>
    <x v="0"/>
    <n v="600"/>
    <n v="2000"/>
  </r>
  <r>
    <n v="40"/>
    <x v="6"/>
    <s v="Australia"/>
    <x v="3"/>
    <x v="36"/>
    <x v="39"/>
    <x v="0"/>
    <s v="Adam Lee"/>
    <n v="33"/>
    <s v="Male"/>
    <s v="Canadian"/>
    <x v="3"/>
    <n v="800"/>
    <x v="1"/>
    <x v="1"/>
    <n v="150"/>
    <n v="950"/>
  </r>
  <r>
    <n v="41"/>
    <x v="4"/>
    <s v="Japan"/>
    <x v="1"/>
    <x v="37"/>
    <x v="40"/>
    <x v="4"/>
    <s v="Sarah Wong"/>
    <n v="28"/>
    <s v="Female"/>
    <s v="Chinese"/>
    <x v="4"/>
    <n v="500"/>
    <x v="0"/>
    <x v="0"/>
    <n v="900"/>
    <n v="1400"/>
  </r>
  <r>
    <n v="42"/>
    <x v="10"/>
    <s v="Mexico"/>
    <x v="2"/>
    <x v="2"/>
    <x v="2"/>
    <x v="0"/>
    <s v="John Smith"/>
    <n v="45"/>
    <s v="Male"/>
    <s v="American"/>
    <x v="1"/>
    <n v="2200"/>
    <x v="0"/>
    <x v="0"/>
    <n v="800"/>
    <n v="3000"/>
  </r>
  <r>
    <n v="43"/>
    <x v="7"/>
    <s v="Brazil"/>
    <x v="4"/>
    <x v="38"/>
    <x v="41"/>
    <x v="0"/>
    <s v="Maria Silva"/>
    <n v="30"/>
    <s v="Female"/>
    <s v="Brazilian"/>
    <x v="0"/>
    <n v="1200"/>
    <x v="0"/>
    <x v="0"/>
    <n v="700"/>
    <n v="1900"/>
  </r>
  <r>
    <n v="44"/>
    <x v="0"/>
    <s v="UK"/>
    <x v="0"/>
    <x v="39"/>
    <x v="42"/>
    <x v="0"/>
    <s v="Peter Brown"/>
    <n v="55"/>
    <s v="Male"/>
    <s v="British"/>
    <x v="3"/>
    <n v="900"/>
    <x v="1"/>
    <x v="1"/>
    <n v="100"/>
    <n v="1000"/>
  </r>
  <r>
    <n v="45"/>
    <x v="11"/>
    <s v="Spain"/>
    <x v="0"/>
    <x v="40"/>
    <x v="17"/>
    <x v="0"/>
    <s v="Emma Garcia"/>
    <n v="27"/>
    <s v="Female"/>
    <s v="Spanish"/>
    <x v="4"/>
    <n v="600"/>
    <x v="0"/>
    <x v="0"/>
    <n v="600"/>
    <n v="1200"/>
  </r>
  <r>
    <n v="46"/>
    <x v="3"/>
    <s v="USA"/>
    <x v="2"/>
    <x v="41"/>
    <x v="43"/>
    <x v="0"/>
    <s v="Michael Davis"/>
    <n v="41"/>
    <s v="Male"/>
    <s v="American"/>
    <x v="0"/>
    <n v="1500"/>
    <x v="0"/>
    <x v="0"/>
    <n v="500"/>
    <n v="2000"/>
  </r>
  <r>
    <n v="47"/>
    <x v="17"/>
    <s v="Thailand"/>
    <x v="1"/>
    <x v="0"/>
    <x v="44"/>
    <x v="6"/>
    <s v="Nina Patel"/>
    <n v="29"/>
    <s v="Female"/>
    <s v="Indian"/>
    <x v="3"/>
    <n v="500"/>
    <x v="2"/>
    <x v="2"/>
    <n v="50"/>
    <n v="550"/>
  </r>
  <r>
    <n v="48"/>
    <x v="21"/>
    <s v="Canada"/>
    <x v="2"/>
    <x v="42"/>
    <x v="45"/>
    <x v="0"/>
    <s v="Kevin Kim"/>
    <n v="24"/>
    <s v="Male"/>
    <s v="Korean"/>
    <x v="4"/>
    <n v="400"/>
    <x v="1"/>
    <x v="1"/>
    <n v="150"/>
    <n v="550"/>
  </r>
  <r>
    <n v="49"/>
    <x v="8"/>
    <s v="Netherlands"/>
    <x v="0"/>
    <x v="43"/>
    <x v="46"/>
    <x v="4"/>
    <s v="Laura van den Berg"/>
    <n v="31"/>
    <s v="Female"/>
    <s v="Dutch"/>
    <x v="0"/>
    <n v="1100"/>
    <x v="0"/>
    <x v="0"/>
    <n v="700"/>
    <n v="1800"/>
  </r>
  <r>
    <n v="50"/>
    <x v="5"/>
    <s v="France"/>
    <x v="0"/>
    <x v="3"/>
    <x v="47"/>
    <x v="0"/>
    <s v="Jennifer Nguyen"/>
    <n v="31"/>
    <s v="Female"/>
    <s v="Canadian"/>
    <x v="0"/>
    <n v="1200"/>
    <x v="1"/>
    <x v="1"/>
    <n v="300"/>
    <n v="1500"/>
  </r>
  <r>
    <n v="51"/>
    <x v="4"/>
    <s v="Japan"/>
    <x v="1"/>
    <x v="44"/>
    <x v="48"/>
    <x v="3"/>
    <s v="David Kim"/>
    <n v="25"/>
    <s v="Male"/>
    <s v="American"/>
    <x v="4"/>
    <n v="500"/>
    <x v="2"/>
    <x v="2"/>
    <n v="100"/>
    <n v="600"/>
  </r>
  <r>
    <n v="52"/>
    <x v="6"/>
    <s v="Australia"/>
    <x v="3"/>
    <x v="45"/>
    <x v="49"/>
    <x v="0"/>
    <s v="Rachel Lee"/>
    <n v="27"/>
    <s v="Female"/>
    <s v="SouthKorean"/>
    <x v="3"/>
    <n v="900"/>
    <x v="3"/>
    <x v="2"/>
    <n v="200"/>
    <n v="1100"/>
  </r>
  <r>
    <n v="53"/>
    <x v="3"/>
    <s v="USA"/>
    <x v="2"/>
    <x v="46"/>
    <x v="50"/>
    <x v="0"/>
    <s v="Jessica Wong"/>
    <n v="28"/>
    <s v="Female"/>
    <s v="Canadian"/>
    <x v="0"/>
    <n v="1400"/>
    <x v="0"/>
    <x v="0"/>
    <n v="800"/>
    <n v="2200"/>
  </r>
  <r>
    <n v="54"/>
    <x v="7"/>
    <s v="Brazil"/>
    <x v="4"/>
    <x v="47"/>
    <x v="51"/>
    <x v="5"/>
    <s v="Felipe Almeida"/>
    <n v="30"/>
    <s v="Male"/>
    <s v="Brazilian"/>
    <x v="3"/>
    <n v="800"/>
    <x v="1"/>
    <x v="1"/>
    <n v="150"/>
    <n v="950"/>
  </r>
  <r>
    <n v="55"/>
    <x v="17"/>
    <s v="Thailand"/>
    <x v="1"/>
    <x v="48"/>
    <x v="52"/>
    <x v="4"/>
    <s v="Nisa Patel"/>
    <n v="23"/>
    <s v="Female"/>
    <s v="Indian"/>
    <x v="4"/>
    <n v="400"/>
    <x v="2"/>
    <x v="2"/>
    <n v="50"/>
    <n v="450"/>
  </r>
  <r>
    <n v="56"/>
    <x v="0"/>
    <s v="UK"/>
    <x v="0"/>
    <x v="49"/>
    <x v="53"/>
    <x v="4"/>
    <s v="Ben Smith"/>
    <n v="35"/>
    <s v="Male"/>
    <s v="British"/>
    <x v="0"/>
    <n v="1000"/>
    <x v="1"/>
    <x v="1"/>
    <n v="200"/>
    <n v="1200"/>
  </r>
  <r>
    <n v="57"/>
    <x v="11"/>
    <s v="Spain"/>
    <x v="0"/>
    <x v="50"/>
    <x v="54"/>
    <x v="4"/>
    <s v="Laura Gomez"/>
    <n v="29"/>
    <s v="Female"/>
    <s v="Spanish"/>
    <x v="3"/>
    <n v="700"/>
    <x v="3"/>
    <x v="2"/>
    <n v="250"/>
    <n v="950"/>
  </r>
  <r>
    <n v="58"/>
    <x v="22"/>
    <s v="South Korea"/>
    <x v="1"/>
    <x v="51"/>
    <x v="55"/>
    <x v="4"/>
    <s v="Park Min Woo"/>
    <n v="27"/>
    <s v="Male"/>
    <s v="SouthKorean"/>
    <x v="4"/>
    <n v="500"/>
    <x v="4"/>
    <x v="1"/>
    <n v="20"/>
    <n v="520"/>
  </r>
  <r>
    <n v="59"/>
    <x v="23"/>
    <s v="USA"/>
    <x v="2"/>
    <x v="52"/>
    <x v="56"/>
    <x v="0"/>
    <s v="Michael Chen"/>
    <n v="26"/>
    <s v="Male"/>
    <s v="Chinese"/>
    <x v="0"/>
    <n v="1200"/>
    <x v="3"/>
    <x v="2"/>
    <n v="300"/>
    <n v="1500"/>
  </r>
  <r>
    <n v="60"/>
    <x v="16"/>
    <s v="Italy"/>
    <x v="0"/>
    <x v="53"/>
    <x v="57"/>
    <x v="4"/>
    <s v="Sofia Rossi"/>
    <n v="33"/>
    <s v="Female"/>
    <s v="Italian"/>
    <x v="3"/>
    <n v="800"/>
    <x v="1"/>
    <x v="1"/>
    <n v="100"/>
    <n v="900"/>
  </r>
  <r>
    <n v="61"/>
    <x v="5"/>
    <s v="France"/>
    <x v="0"/>
    <x v="54"/>
    <x v="58"/>
    <x v="6"/>
    <s v="Rachel Sanders"/>
    <n v="35"/>
    <s v="Female"/>
    <s v="American"/>
    <x v="0"/>
    <n v="1200"/>
    <x v="0"/>
    <x v="0"/>
    <n v="800"/>
    <n v="2000"/>
  </r>
  <r>
    <n v="62"/>
    <x v="4"/>
    <s v="Japan"/>
    <x v="1"/>
    <x v="55"/>
    <x v="59"/>
    <x v="0"/>
    <s v="Kenji Nakamura"/>
    <n v="28"/>
    <s v="Male"/>
    <s v="Japanese"/>
    <x v="4"/>
    <n v="400"/>
    <x v="1"/>
    <x v="1"/>
    <n v="300"/>
    <n v="700"/>
  </r>
  <r>
    <n v="63"/>
    <x v="24"/>
    <s v="South Africa"/>
    <x v="5"/>
    <x v="56"/>
    <x v="60"/>
    <x v="5"/>
    <s v="Emily Watson"/>
    <n v="29"/>
    <s v="Female"/>
    <s v="British"/>
    <x v="6"/>
    <n v="800"/>
    <x v="3"/>
    <x v="2"/>
    <n v="200"/>
    <n v="1000"/>
  </r>
  <r>
    <n v="64"/>
    <x v="6"/>
    <s v="Australia"/>
    <x v="3"/>
    <x v="57"/>
    <x v="61"/>
    <x v="6"/>
    <s v="David Lee"/>
    <n v="43"/>
    <s v="Male"/>
    <s v="Australian"/>
    <x v="0"/>
    <n v="1500"/>
    <x v="0"/>
    <x v="0"/>
    <n v="1200"/>
    <n v="2700"/>
  </r>
  <r>
    <n v="65"/>
    <x v="11"/>
    <s v="Spain"/>
    <x v="0"/>
    <x v="40"/>
    <x v="17"/>
    <x v="0"/>
    <s v="Ana Rodriguez"/>
    <n v="31"/>
    <s v="Female"/>
    <s v="Spanish"/>
    <x v="6"/>
    <n v="900"/>
    <x v="0"/>
    <x v="0"/>
    <n v="700"/>
    <n v="1600"/>
  </r>
  <r>
    <n v="66"/>
    <x v="2"/>
    <s v="Indonesia"/>
    <x v="1"/>
    <x v="48"/>
    <x v="62"/>
    <x v="0"/>
    <s v="Tom Wilson"/>
    <n v="27"/>
    <s v="Male"/>
    <s v="American"/>
    <x v="1"/>
    <n v="2200"/>
    <x v="0"/>
    <x v="0"/>
    <n v="1000"/>
    <n v="3200"/>
  </r>
  <r>
    <n v="67"/>
    <x v="5"/>
    <s v="France"/>
    <x v="0"/>
    <x v="58"/>
    <x v="63"/>
    <x v="6"/>
    <s v="Olivia Green"/>
    <n v="39"/>
    <s v="Female"/>
    <s v="French"/>
    <x v="0"/>
    <n v="1100"/>
    <x v="1"/>
    <x v="1"/>
    <n v="200"/>
    <n v="1300"/>
  </r>
  <r>
    <n v="68"/>
    <x v="3"/>
    <s v="USA"/>
    <x v="2"/>
    <x v="59"/>
    <x v="64"/>
    <x v="6"/>
    <s v="James Chen"/>
    <n v="25"/>
    <s v="Male"/>
    <s v="American"/>
    <x v="6"/>
    <n v="1000"/>
    <x v="0"/>
    <x v="0"/>
    <n v="800"/>
    <n v="1800"/>
  </r>
  <r>
    <n v="69"/>
    <x v="17"/>
    <s v="Thailand"/>
    <x v="1"/>
    <x v="60"/>
    <x v="65"/>
    <x v="4"/>
    <s v="Lila Patel"/>
    <n v="33"/>
    <s v="Female"/>
    <s v="Indian"/>
    <x v="4"/>
    <n v="300"/>
    <x v="0"/>
    <x v="0"/>
    <n v="700"/>
    <n v="1000"/>
  </r>
  <r>
    <n v="70"/>
    <x v="16"/>
    <s v="Italy"/>
    <x v="0"/>
    <x v="61"/>
    <x v="66"/>
    <x v="6"/>
    <s v="Marco Rossi"/>
    <n v="41"/>
    <s v="Male"/>
    <s v="Italian"/>
    <x v="0"/>
    <n v="1300"/>
    <x v="1"/>
    <x v="1"/>
    <n v="100"/>
    <n v="1400"/>
  </r>
  <r>
    <n v="71"/>
    <x v="2"/>
    <s v="Indonesia"/>
    <x v="1"/>
    <x v="62"/>
    <x v="67"/>
    <x v="4"/>
    <s v="Sarah Brown"/>
    <n v="37"/>
    <s v="Female"/>
    <s v="British"/>
    <x v="1"/>
    <n v="1800"/>
    <x v="0"/>
    <x v="0"/>
    <n v="1000"/>
    <n v="2800"/>
  </r>
  <r>
    <n v="73"/>
    <x v="2"/>
    <s v="Indonesia"/>
    <x v="1"/>
    <x v="63"/>
    <x v="68"/>
    <x v="0"/>
    <s v="Sarah Lee"/>
    <n v="35"/>
    <s v="Female"/>
    <s v="SouthKorean"/>
    <x v="1"/>
    <n v="500"/>
    <x v="0"/>
    <x v="0"/>
    <n v="800"/>
    <n v="1300"/>
  </r>
  <r>
    <n v="74"/>
    <x v="4"/>
    <s v="Japan"/>
    <x v="1"/>
    <x v="64"/>
    <x v="39"/>
    <x v="4"/>
    <s v="Alex Kim"/>
    <n v="29"/>
    <s v="Male"/>
    <s v="American"/>
    <x v="0"/>
    <n v="1000"/>
    <x v="1"/>
    <x v="1"/>
    <n v="200"/>
    <n v="1200"/>
  </r>
  <r>
    <n v="75"/>
    <x v="10"/>
    <s v="Mexico"/>
    <x v="2"/>
    <x v="65"/>
    <x v="69"/>
    <x v="0"/>
    <s v="Maria Hernandez"/>
    <n v="42"/>
    <s v="Female"/>
    <s v="Mexican"/>
    <x v="1"/>
    <n v="800"/>
    <x v="0"/>
    <x v="0"/>
    <n v="500"/>
    <n v="1300"/>
  </r>
  <r>
    <n v="76"/>
    <x v="5"/>
    <s v="France"/>
    <x v="0"/>
    <x v="66"/>
    <x v="70"/>
    <x v="0"/>
    <s v="John Smith"/>
    <n v="46"/>
    <s v="Male"/>
    <s v="British"/>
    <x v="0"/>
    <n v="1200"/>
    <x v="0"/>
    <x v="0"/>
    <n v="700"/>
    <n v="1900"/>
  </r>
  <r>
    <n v="77"/>
    <x v="24"/>
    <s v="South Africa"/>
    <x v="5"/>
    <x v="16"/>
    <x v="16"/>
    <x v="5"/>
    <s v="Mark Johnson"/>
    <n v="31"/>
    <s v="Male"/>
    <s v="SouthAfrican"/>
    <x v="7"/>
    <n v="400"/>
    <x v="5"/>
    <x v="2"/>
    <n v="300"/>
    <n v="700"/>
  </r>
  <r>
    <n v="78"/>
    <x v="2"/>
    <s v="Indonesia"/>
    <x v="1"/>
    <x v="67"/>
    <x v="71"/>
    <x v="0"/>
    <s v="Amanda Chen"/>
    <n v="25"/>
    <s v="Female"/>
    <s v="Taiwanese"/>
    <x v="1"/>
    <n v="600"/>
    <x v="0"/>
    <x v="0"/>
    <n v="700"/>
    <n v="1300"/>
  </r>
  <r>
    <n v="79"/>
    <x v="6"/>
    <s v="Australia"/>
    <x v="3"/>
    <x v="68"/>
    <x v="72"/>
    <x v="0"/>
    <s v="David Lee"/>
    <n v="38"/>
    <s v="Male"/>
    <s v="Australian"/>
    <x v="0"/>
    <n v="900"/>
    <x v="0"/>
    <x v="0"/>
    <n v="600"/>
    <n v="1500"/>
  </r>
  <r>
    <n v="80"/>
    <x v="17"/>
    <s v="Thailand"/>
    <x v="1"/>
    <x v="11"/>
    <x v="11"/>
    <x v="0"/>
    <s v="Nana Kwon"/>
    <n v="27"/>
    <s v="Female"/>
    <s v="Korean"/>
    <x v="0"/>
    <n v="400"/>
    <x v="0"/>
    <x v="0"/>
    <n v="400"/>
    <n v="800"/>
  </r>
  <r>
    <n v="81"/>
    <x v="3"/>
    <s v="USA"/>
    <x v="2"/>
    <x v="14"/>
    <x v="14"/>
    <x v="0"/>
    <s v="Tom Hanks"/>
    <n v="60"/>
    <s v="Male"/>
    <s v="American"/>
    <x v="0"/>
    <n v="1500"/>
    <x v="0"/>
    <x v="0"/>
    <n v="1000"/>
    <n v="2500"/>
  </r>
  <r>
    <n v="82"/>
    <x v="1"/>
    <s v="Thailand"/>
    <x v="1"/>
    <x v="69"/>
    <x v="73"/>
    <x v="0"/>
    <s v="Emma Watson"/>
    <n v="32"/>
    <s v="Female"/>
    <s v="British"/>
    <x v="1"/>
    <n v="700"/>
    <x v="0"/>
    <x v="0"/>
    <n v="800"/>
    <n v="1500"/>
  </r>
  <r>
    <n v="83"/>
    <x v="16"/>
    <s v="Italy"/>
    <x v="0"/>
    <x v="70"/>
    <x v="74"/>
    <x v="0"/>
    <s v="James Kim"/>
    <n v="41"/>
    <s v="Male"/>
    <s v="American"/>
    <x v="0"/>
    <n v="100"/>
    <x v="2"/>
    <x v="2"/>
    <n v="50"/>
    <n v="150"/>
  </r>
  <r>
    <n v="84"/>
    <x v="5"/>
    <s v="France"/>
    <x v="0"/>
    <x v="71"/>
    <x v="75"/>
    <x v="6"/>
    <s v="John Smith"/>
    <n v="35"/>
    <s v="Male"/>
    <s v="American"/>
    <x v="0"/>
    <n v="800"/>
    <x v="0"/>
    <x v="0"/>
    <n v="500"/>
    <n v="1300"/>
  </r>
  <r>
    <n v="85"/>
    <x v="4"/>
    <s v="Japan"/>
    <x v="1"/>
    <x v="72"/>
    <x v="76"/>
    <x v="3"/>
    <s v="Sarah Lee"/>
    <n v="28"/>
    <s v="Female"/>
    <s v="Korean"/>
    <x v="3"/>
    <n v="500"/>
    <x v="1"/>
    <x v="1"/>
    <n v="300"/>
    <n v="800"/>
  </r>
  <r>
    <n v="86"/>
    <x v="2"/>
    <s v="Indonesia"/>
    <x v="1"/>
    <x v="73"/>
    <x v="77"/>
    <x v="8"/>
    <s v="Maria Garcia"/>
    <n v="42"/>
    <s v="Female"/>
    <s v="Spanish"/>
    <x v="1"/>
    <n v="1200"/>
    <x v="0"/>
    <x v="0"/>
    <n v="700"/>
    <n v="1900"/>
  </r>
  <r>
    <n v="87"/>
    <x v="6"/>
    <s v="Australia"/>
    <x v="3"/>
    <x v="74"/>
    <x v="78"/>
    <x v="5"/>
    <s v="David Lee"/>
    <n v="45"/>
    <s v="Male"/>
    <s v="Australian"/>
    <x v="0"/>
    <n v="900"/>
    <x v="0"/>
    <x v="0"/>
    <n v="600"/>
    <n v="1500"/>
  </r>
  <r>
    <n v="88"/>
    <x v="3"/>
    <s v="USA"/>
    <x v="2"/>
    <x v="75"/>
    <x v="79"/>
    <x v="6"/>
    <s v="Emily Davis"/>
    <n v="31"/>
    <s v="Female"/>
    <s v="American"/>
    <x v="3"/>
    <n v="700"/>
    <x v="3"/>
    <x v="2"/>
    <n v="200"/>
    <n v="900"/>
  </r>
  <r>
    <n v="89"/>
    <x v="0"/>
    <s v="UK"/>
    <x v="0"/>
    <x v="76"/>
    <x v="80"/>
    <x v="8"/>
    <s v="James Wilson"/>
    <n v="29"/>
    <s v="Male"/>
    <s v="British"/>
    <x v="4"/>
    <n v="300"/>
    <x v="0"/>
    <x v="0"/>
    <n v="400"/>
    <n v="700"/>
  </r>
  <r>
    <n v="90"/>
    <x v="9"/>
    <s v="United Arab Emirates"/>
    <x v="1"/>
    <x v="77"/>
    <x v="81"/>
    <x v="4"/>
    <s v="Fatima Ahmed"/>
    <n v="24"/>
    <s v="Female"/>
    <s v="Emirati"/>
    <x v="0"/>
    <n v="1000"/>
    <x v="0"/>
    <x v="0"/>
    <n v="800"/>
    <n v="1800"/>
  </r>
  <r>
    <n v="91"/>
    <x v="17"/>
    <s v="Thailand"/>
    <x v="1"/>
    <x v="78"/>
    <x v="82"/>
    <x v="0"/>
    <s v="Liam Nguyen"/>
    <n v="26"/>
    <s v="Male"/>
    <s v="Vietnamese"/>
    <x v="3"/>
    <n v="400"/>
    <x v="1"/>
    <x v="1"/>
    <n v="100"/>
    <n v="500"/>
  </r>
  <r>
    <n v="92"/>
    <x v="16"/>
    <s v="Italy"/>
    <x v="0"/>
    <x v="79"/>
    <x v="83"/>
    <x v="8"/>
    <s v="Giulia Rossi"/>
    <n v="30"/>
    <s v="Female"/>
    <s v="Italian"/>
    <x v="4"/>
    <n v="200"/>
    <x v="0"/>
    <x v="0"/>
    <n v="350"/>
    <n v="550"/>
  </r>
  <r>
    <n v="93"/>
    <x v="2"/>
    <s v="Indonesia"/>
    <x v="1"/>
    <x v="80"/>
    <x v="84"/>
    <x v="8"/>
    <s v="Putra Wijaya"/>
    <n v="33"/>
    <s v="Male"/>
    <s v="Indonesian"/>
    <x v="2"/>
    <n v="1500"/>
    <x v="3"/>
    <x v="2"/>
    <n v="300"/>
    <n v="1800"/>
  </r>
  <r>
    <n v="94"/>
    <x v="22"/>
    <s v="South Korea"/>
    <x v="1"/>
    <x v="81"/>
    <x v="85"/>
    <x v="3"/>
    <s v="Kim Min-ji"/>
    <n v="27"/>
    <s v="Female"/>
    <s v="Korean"/>
    <x v="0"/>
    <n v="800"/>
    <x v="1"/>
    <x v="1"/>
    <n v="150"/>
    <n v="950"/>
  </r>
  <r>
    <n v="95"/>
    <x v="5"/>
    <s v="France"/>
    <x v="0"/>
    <x v="25"/>
    <x v="86"/>
    <x v="1"/>
    <s v="John Smith"/>
    <n v="35"/>
    <s v="Male"/>
    <s v="USA"/>
    <x v="0"/>
    <n v="500"/>
    <x v="0"/>
    <x v="0"/>
    <n v="800"/>
    <n v="1300"/>
  </r>
  <r>
    <n v="96"/>
    <x v="4"/>
    <s v="Japan"/>
    <x v="1"/>
    <x v="82"/>
    <x v="59"/>
    <x v="5"/>
    <s v="Emily Johnson"/>
    <n v="28"/>
    <s v="Female"/>
    <s v="Canada"/>
    <x v="3"/>
    <n v="400"/>
    <x v="1"/>
    <x v="1"/>
    <n v="200"/>
    <n v="600"/>
  </r>
  <r>
    <n v="97"/>
    <x v="6"/>
    <s v="Australia"/>
    <x v="3"/>
    <x v="83"/>
    <x v="87"/>
    <x v="5"/>
    <s v="David Lee"/>
    <n v="45"/>
    <s v="Male"/>
    <s v="SouthKorea"/>
    <x v="4"/>
    <n v="200"/>
    <x v="0"/>
    <x v="0"/>
    <n v="1200"/>
    <n v="1400"/>
  </r>
  <r>
    <n v="98"/>
    <x v="0"/>
    <s v="UK"/>
    <x v="0"/>
    <x v="32"/>
    <x v="88"/>
    <x v="1"/>
    <s v="Sarah Brown"/>
    <n v="37"/>
    <s v="Female"/>
    <s v="UK"/>
    <x v="0"/>
    <n v="600"/>
    <x v="0"/>
    <x v="0"/>
    <n v="700"/>
    <n v="1300"/>
  </r>
  <r>
    <n v="99"/>
    <x v="3"/>
    <s v="USA"/>
    <x v="2"/>
    <x v="84"/>
    <x v="89"/>
    <x v="6"/>
    <s v="Michael Wong"/>
    <n v="50"/>
    <s v="Male"/>
    <s v="China"/>
    <x v="3"/>
    <n v="800"/>
    <x v="3"/>
    <x v="2"/>
    <n v="300"/>
    <n v="1100"/>
  </r>
  <r>
    <n v="100"/>
    <x v="16"/>
    <s v="Italy"/>
    <x v="0"/>
    <x v="85"/>
    <x v="90"/>
    <x v="0"/>
    <s v="Jessica Chen"/>
    <n v="31"/>
    <s v="Female"/>
    <s v="Taiwan"/>
    <x v="0"/>
    <n v="700"/>
    <x v="0"/>
    <x v="0"/>
    <n v="900"/>
    <n v="1600"/>
  </r>
  <r>
    <n v="101"/>
    <x v="17"/>
    <s v="Thailand"/>
    <x v="1"/>
    <x v="67"/>
    <x v="91"/>
    <x v="4"/>
    <s v="Ken Tanaka"/>
    <n v="42"/>
    <s v="Male"/>
    <s v="Japan"/>
    <x v="4"/>
    <n v="300"/>
    <x v="1"/>
    <x v="1"/>
    <n v="100"/>
    <n v="400"/>
  </r>
  <r>
    <n v="102"/>
    <x v="24"/>
    <s v="South Africa"/>
    <x v="5"/>
    <x v="86"/>
    <x v="92"/>
    <x v="4"/>
    <s v="Maria Garcia"/>
    <n v="27"/>
    <s v="Female"/>
    <s v="Spain"/>
    <x v="3"/>
    <n v="500"/>
    <x v="0"/>
    <x v="0"/>
    <n v="1500"/>
    <n v="2000"/>
  </r>
  <r>
    <n v="103"/>
    <x v="7"/>
    <s v="Brazil"/>
    <x v="4"/>
    <x v="87"/>
    <x v="93"/>
    <x v="0"/>
    <s v="Rodrigo Oliveira"/>
    <n v="33"/>
    <s v="Male"/>
    <s v="Brazil"/>
    <x v="0"/>
    <n v="900"/>
    <x v="3"/>
    <x v="2"/>
    <n v="400"/>
    <n v="1300"/>
  </r>
  <r>
    <n v="104"/>
    <x v="2"/>
    <s v="Indonesia"/>
    <x v="1"/>
    <x v="88"/>
    <x v="94"/>
    <x v="6"/>
    <s v="Olivia Kim"/>
    <n v="29"/>
    <s v="Female"/>
    <s v="SouthKorea"/>
    <x v="2"/>
    <n v="1200"/>
    <x v="0"/>
    <x v="0"/>
    <n v="1000"/>
    <n v="2200"/>
  </r>
  <r>
    <n v="105"/>
    <x v="8"/>
    <s v="Netherlands"/>
    <x v="0"/>
    <x v="89"/>
    <x v="95"/>
    <x v="0"/>
    <s v="Robert Mueller"/>
    <n v="41"/>
    <s v="Male"/>
    <s v="Germany"/>
    <x v="0"/>
    <n v="600"/>
    <x v="1"/>
    <x v="1"/>
    <n v="150"/>
    <n v="750"/>
  </r>
  <r>
    <n v="106"/>
    <x v="5"/>
    <s v="France"/>
    <x v="0"/>
    <x v="90"/>
    <x v="96"/>
    <x v="1"/>
    <s v="John Smith"/>
    <n v="35"/>
    <s v="Male"/>
    <s v="USA"/>
    <x v="0"/>
    <n v="1000"/>
    <x v="0"/>
    <x v="0"/>
    <n v="800"/>
    <n v="1800"/>
  </r>
  <r>
    <n v="107"/>
    <x v="4"/>
    <s v="Japan"/>
    <x v="1"/>
    <x v="82"/>
    <x v="59"/>
    <x v="5"/>
    <s v="Sarah Lee"/>
    <n v="28"/>
    <s v="Female"/>
    <s v="SouthKorea"/>
    <x v="3"/>
    <n v="800"/>
    <x v="1"/>
    <x v="1"/>
    <n v="500"/>
    <n v="1300"/>
  </r>
  <r>
    <n v="108"/>
    <x v="3"/>
    <s v="USA"/>
    <x v="2"/>
    <x v="91"/>
    <x v="97"/>
    <x v="1"/>
    <s v="Michael Wong"/>
    <n v="42"/>
    <s v="Male"/>
    <s v="HongKong"/>
    <x v="0"/>
    <n v="1200"/>
    <x v="3"/>
    <x v="2"/>
    <n v="200"/>
    <n v="1400"/>
  </r>
  <r>
    <n v="109"/>
    <x v="2"/>
    <s v="Indonesia"/>
    <x v="1"/>
    <x v="92"/>
    <x v="98"/>
    <x v="4"/>
    <s v="Lisa Chen"/>
    <n v="30"/>
    <s v="Female"/>
    <s v="Taiwan"/>
    <x v="1"/>
    <n v="1500"/>
    <x v="0"/>
    <x v="0"/>
    <n v="1200"/>
    <n v="2700"/>
  </r>
  <r>
    <n v="110"/>
    <x v="6"/>
    <s v="Australia"/>
    <x v="3"/>
    <x v="93"/>
    <x v="99"/>
    <x v="5"/>
    <s v="David Kim"/>
    <n v="26"/>
    <s v="Male"/>
    <s v="Canada"/>
    <x v="4"/>
    <n v="300"/>
    <x v="0"/>
    <x v="0"/>
    <n v="900"/>
    <n v="1200"/>
  </r>
  <r>
    <n v="111"/>
    <x v="0"/>
    <s v="UK"/>
    <x v="0"/>
    <x v="94"/>
    <x v="100"/>
    <x v="1"/>
    <s v="Emily Wong"/>
    <n v="38"/>
    <s v="Female"/>
    <s v="UnitedKingdom"/>
    <x v="0"/>
    <n v="900"/>
    <x v="1"/>
    <x v="1"/>
    <n v="150"/>
    <n v="1050"/>
  </r>
  <r>
    <n v="112"/>
    <x v="1"/>
    <s v="Thailand"/>
    <x v="1"/>
    <x v="28"/>
    <x v="101"/>
    <x v="0"/>
    <s v="Mark Tan"/>
    <n v="45"/>
    <s v="Male"/>
    <s v="Singapore"/>
    <x v="2"/>
    <n v="2000"/>
    <x v="0"/>
    <x v="0"/>
    <n v="700"/>
    <n v="2700"/>
  </r>
  <r>
    <n v="113"/>
    <x v="16"/>
    <s v="Italy"/>
    <x v="0"/>
    <x v="81"/>
    <x v="102"/>
    <x v="0"/>
    <s v="Emma Lee"/>
    <n v="31"/>
    <s v="Female"/>
    <s v="Italy"/>
    <x v="0"/>
    <n v="1100"/>
    <x v="1"/>
    <x v="1"/>
    <n v="250"/>
    <n v="1350"/>
  </r>
  <r>
    <n v="114"/>
    <x v="19"/>
    <s v="Greece"/>
    <x v="0"/>
    <x v="95"/>
    <x v="103"/>
    <x v="0"/>
    <s v="George Chen"/>
    <n v="27"/>
    <s v="Male"/>
    <s v="Greece"/>
    <x v="3"/>
    <n v="1000"/>
    <x v="6"/>
    <x v="3"/>
    <n v="150"/>
    <n v="1150"/>
  </r>
  <r>
    <n v="115"/>
    <x v="9"/>
    <s v="United Arab Emirates"/>
    <x v="1"/>
    <x v="96"/>
    <x v="104"/>
    <x v="1"/>
    <s v="Sophia Kim"/>
    <n v="29"/>
    <s v="Female"/>
    <s v="UnitedArabEmirates"/>
    <x v="0"/>
    <n v="1500"/>
    <x v="3"/>
    <x v="2"/>
    <n v="300"/>
    <n v="1800"/>
  </r>
  <r>
    <n v="116"/>
    <x v="25"/>
    <s v="Cambodia"/>
    <x v="1"/>
    <x v="97"/>
    <x v="105"/>
    <x v="1"/>
    <s v="Alex Ng"/>
    <n v="33"/>
    <s v="Male"/>
    <s v="Cambodia"/>
    <x v="4"/>
    <n v="200"/>
    <x v="0"/>
    <x v="0"/>
    <n v="500"/>
    <n v="700"/>
  </r>
  <r>
    <n v="117"/>
    <x v="4"/>
    <s v="Japan"/>
    <x v="1"/>
    <x v="98"/>
    <x v="106"/>
    <x v="5"/>
    <s v="Alice Smith"/>
    <n v="32"/>
    <s v="Female"/>
    <s v="American"/>
    <x v="0"/>
    <n v="1000"/>
    <x v="0"/>
    <x v="0"/>
    <n v="700"/>
    <n v="1700"/>
  </r>
  <r>
    <n v="118"/>
    <x v="5"/>
    <s v="France"/>
    <x v="0"/>
    <x v="99"/>
    <x v="107"/>
    <x v="0"/>
    <s v="Bob Johnson"/>
    <n v="47"/>
    <s v="Male"/>
    <s v="Canadian"/>
    <x v="0"/>
    <n v="1200"/>
    <x v="1"/>
    <x v="1"/>
    <n v="500"/>
    <n v="1700"/>
  </r>
  <r>
    <n v="119"/>
    <x v="6"/>
    <s v="Australia"/>
    <x v="3"/>
    <x v="81"/>
    <x v="108"/>
    <x v="8"/>
    <s v="Cindy Chen"/>
    <n v="26"/>
    <s v="Female"/>
    <s v="Chinese"/>
    <x v="3"/>
    <n v="800"/>
    <x v="0"/>
    <x v="0"/>
    <n v="1000"/>
    <n v="1800"/>
  </r>
  <r>
    <n v="120"/>
    <x v="16"/>
    <s v="Italy"/>
    <x v="0"/>
    <x v="94"/>
    <x v="109"/>
    <x v="0"/>
    <s v="David Lee"/>
    <n v="38"/>
    <s v="Male"/>
    <s v="Korean"/>
    <x v="0"/>
    <n v="900"/>
    <x v="1"/>
    <x v="1"/>
    <n v="400"/>
    <n v="1300"/>
  </r>
  <r>
    <n v="121"/>
    <x v="2"/>
    <s v="Indonesia"/>
    <x v="1"/>
    <x v="100"/>
    <x v="110"/>
    <x v="3"/>
    <s v="Emily Kim"/>
    <n v="29"/>
    <s v="Female"/>
    <s v="Korean"/>
    <x v="4"/>
    <n v="500"/>
    <x v="0"/>
    <x v="0"/>
    <n v="800"/>
    <n v="1300"/>
  </r>
  <r>
    <n v="122"/>
    <x v="10"/>
    <s v="Mexico"/>
    <x v="2"/>
    <x v="101"/>
    <x v="111"/>
    <x v="4"/>
    <s v="Frank Li"/>
    <n v="41"/>
    <s v="Male"/>
    <s v="American"/>
    <x v="0"/>
    <n v="1300"/>
    <x v="0"/>
    <x v="0"/>
    <n v="600"/>
    <n v="1900"/>
  </r>
  <r>
    <n v="123"/>
    <x v="26"/>
    <s v="Greece"/>
    <x v="0"/>
    <x v="102"/>
    <x v="112"/>
    <x v="3"/>
    <s v="Gina Lee"/>
    <n v="35"/>
    <s v="Female"/>
    <s v="Korean"/>
    <x v="3"/>
    <n v="700"/>
    <x v="0"/>
    <x v="0"/>
    <n v="900"/>
    <n v="1600"/>
  </r>
  <r>
    <n v="124"/>
    <x v="4"/>
    <s v="Japan"/>
    <x v="1"/>
    <x v="103"/>
    <x v="113"/>
    <x v="4"/>
    <s v="Henry Kim"/>
    <n v="24"/>
    <s v="Male"/>
    <s v="Korean"/>
    <x v="0"/>
    <n v="1200"/>
    <x v="0"/>
    <x v="0"/>
    <n v="700"/>
    <n v="1900"/>
  </r>
  <r>
    <n v="125"/>
    <x v="6"/>
    <s v="Australia"/>
    <x v="3"/>
    <x v="104"/>
    <x v="114"/>
    <x v="3"/>
    <s v="Isabella Chen"/>
    <n v="30"/>
    <s v="Female"/>
    <s v="Chinese"/>
    <x v="3"/>
    <n v="900"/>
    <x v="0"/>
    <x v="0"/>
    <n v="1000"/>
    <n v="1900"/>
  </r>
  <r>
    <n v="126"/>
    <x v="5"/>
    <s v="France"/>
    <x v="0"/>
    <x v="105"/>
    <x v="115"/>
    <x v="4"/>
    <s v="Jack Smith"/>
    <n v="28"/>
    <s v="Male"/>
    <s v="American"/>
    <x v="4"/>
    <n v="400"/>
    <x v="0"/>
    <x v="0"/>
    <n v="700"/>
    <n v="1100"/>
  </r>
  <r>
    <n v="127"/>
    <x v="2"/>
    <s v="Indonesia"/>
    <x v="1"/>
    <x v="106"/>
    <x v="116"/>
    <x v="4"/>
    <s v="Katie Johnson"/>
    <n v="33"/>
    <s v="Female"/>
    <s v="Canadian"/>
    <x v="0"/>
    <n v="800"/>
    <x v="0"/>
    <x v="0"/>
    <n v="800"/>
    <n v="1600"/>
  </r>
  <r>
    <n v="128"/>
    <x v="5"/>
    <s v="France"/>
    <x v="0"/>
    <x v="0"/>
    <x v="44"/>
    <x v="6"/>
    <s v="John Doe"/>
    <n v="35"/>
    <s v="Male"/>
    <s v="American"/>
    <x v="0"/>
    <n v="5000"/>
    <x v="0"/>
    <x v="0"/>
    <n v="1000"/>
    <n v="6000"/>
  </r>
  <r>
    <n v="129"/>
    <x v="4"/>
    <s v="Japan"/>
    <x v="1"/>
    <x v="107"/>
    <x v="117"/>
    <x v="0"/>
    <s v="Jane Smith"/>
    <n v="28"/>
    <s v="Female"/>
    <s v="British"/>
    <x v="3"/>
    <n v="7000"/>
    <x v="1"/>
    <x v="1"/>
    <n v="1500"/>
    <n v="8500"/>
  </r>
  <r>
    <n v="130"/>
    <x v="24"/>
    <s v="South Africa"/>
    <x v="5"/>
    <x v="108"/>
    <x v="118"/>
    <x v="5"/>
    <s v="Michael Johnson"/>
    <n v="45"/>
    <s v="Male"/>
    <s v="SouthAfrican"/>
    <x v="4"/>
    <n v="3000"/>
    <x v="5"/>
    <x v="2"/>
    <n v="2000"/>
    <n v="5000"/>
  </r>
  <r>
    <n v="131"/>
    <x v="6"/>
    <s v="Australia"/>
    <x v="3"/>
    <x v="1"/>
    <x v="119"/>
    <x v="6"/>
    <s v="Sarah Lee"/>
    <n v="31"/>
    <s v="Female"/>
    <s v="Australian"/>
    <x v="0"/>
    <n v="6000"/>
    <x v="0"/>
    <x v="0"/>
    <n v="300"/>
    <n v="6300"/>
  </r>
  <r>
    <n v="132"/>
    <x v="16"/>
    <s v="Italy"/>
    <x v="0"/>
    <x v="2"/>
    <x v="2"/>
    <x v="0"/>
    <s v="David Kim"/>
    <n v="42"/>
    <s v="Male"/>
    <s v="Korean"/>
    <x v="3"/>
    <n v="4000"/>
    <x v="1"/>
    <x v="1"/>
    <n v="1500"/>
    <n v="5500"/>
  </r>
  <r>
    <n v="133"/>
    <x v="27"/>
    <s v="USA"/>
    <x v="2"/>
    <x v="109"/>
    <x v="120"/>
    <x v="0"/>
    <s v="Emily Davis"/>
    <n v="27"/>
    <s v="Female"/>
    <s v="American"/>
    <x v="0"/>
    <n v="6500"/>
    <x v="0"/>
    <x v="0"/>
    <n v="500"/>
    <n v="7000"/>
  </r>
  <r>
    <n v="134"/>
    <x v="7"/>
    <s v="Brazil"/>
    <x v="4"/>
    <x v="22"/>
    <x v="25"/>
    <x v="5"/>
    <s v="Jose Perez"/>
    <n v="37"/>
    <s v="Male"/>
    <s v="Brazilian"/>
    <x v="4"/>
    <n v="2500"/>
    <x v="5"/>
    <x v="2"/>
    <n v="2000"/>
    <n v="4500"/>
  </r>
  <r>
    <n v="135"/>
    <x v="21"/>
    <s v="Canada"/>
    <x v="2"/>
    <x v="3"/>
    <x v="121"/>
    <x v="6"/>
    <s v="Emma Wilson"/>
    <n v="29"/>
    <s v="Female"/>
    <s v="Canadian"/>
    <x v="0"/>
    <n v="5000"/>
    <x v="0"/>
    <x v="0"/>
    <n v="3000"/>
    <n v="8000"/>
  </r>
  <r>
    <n v="136"/>
    <x v="17"/>
    <s v="Thailand"/>
    <x v="1"/>
    <x v="16"/>
    <x v="122"/>
    <x v="0"/>
    <s v="Ryan Chen"/>
    <n v="34"/>
    <s v="Male"/>
    <s v="Chinese"/>
    <x v="4"/>
    <n v="2000"/>
    <x v="1"/>
    <x v="1"/>
    <n v="1000"/>
    <n v="3000"/>
  </r>
  <r>
    <n v="137"/>
    <x v="11"/>
    <s v="Spain"/>
    <x v="0"/>
    <x v="20"/>
    <x v="123"/>
    <x v="0"/>
    <s v="Sofia Rodriguez"/>
    <n v="25"/>
    <s v="Female"/>
    <s v="Spanish"/>
    <x v="3"/>
    <n v="600"/>
    <x v="0"/>
    <x v="0"/>
    <n v="300"/>
    <n v="900"/>
  </r>
  <r>
    <n v="138"/>
    <x v="28"/>
    <s v="New Zealand"/>
    <x v="3"/>
    <x v="110"/>
    <x v="124"/>
    <x v="0"/>
    <s v="William Brown"/>
    <n v="39"/>
    <s v="Male"/>
    <s v="NewZealander"/>
    <x v="0"/>
    <n v="7000"/>
    <x v="1"/>
    <x v="1"/>
    <n v="2500"/>
    <n v="95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FC1B08D-821B-4B1D-AC0E-7D4F47551EBF}"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8" firstHeaderRow="1" firstDataRow="1" firstDataCol="1"/>
  <pivotFields count="17">
    <pivotField showAll="0"/>
    <pivotField showAll="0"/>
    <pivotField showAll="0"/>
    <pivotField showAll="0"/>
    <pivotField numFmtId="14" showAll="0"/>
    <pivotField numFmtId="14" showAll="0"/>
    <pivotField showAll="0"/>
    <pivotField showAll="0"/>
    <pivotField showAll="0"/>
    <pivotField showAll="0"/>
    <pivotField showAll="0"/>
    <pivotField showAll="0"/>
    <pivotField numFmtId="164" showAll="0"/>
    <pivotField showAll="0"/>
    <pivotField axis="axisRow" showAll="0">
      <items count="5">
        <item x="0"/>
        <item x="1"/>
        <item x="2"/>
        <item x="3"/>
        <item t="default"/>
      </items>
    </pivotField>
    <pivotField dataField="1" numFmtId="164" showAll="0"/>
    <pivotField numFmtId="164" showAll="0"/>
  </pivotFields>
  <rowFields count="1">
    <field x="14"/>
  </rowFields>
  <rowItems count="5">
    <i>
      <x/>
    </i>
    <i>
      <x v="1"/>
    </i>
    <i>
      <x v="2"/>
    </i>
    <i>
      <x v="3"/>
    </i>
    <i t="grand">
      <x/>
    </i>
  </rowItems>
  <colItems count="1">
    <i/>
  </colItems>
  <dataFields count="1">
    <dataField name="Sum of Transportation cost" fld="15" baseField="0" baseItem="0"/>
  </dataFields>
  <chartFormats count="15">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4" count="1" selected="0">
            <x v="0"/>
          </reference>
        </references>
      </pivotArea>
    </chartFormat>
    <chartFormat chart="3" format="8">
      <pivotArea type="data" outline="0" fieldPosition="0">
        <references count="2">
          <reference field="4294967294" count="1" selected="0">
            <x v="0"/>
          </reference>
          <reference field="14" count="1" selected="0">
            <x v="1"/>
          </reference>
        </references>
      </pivotArea>
    </chartFormat>
    <chartFormat chart="3" format="9">
      <pivotArea type="data" outline="0" fieldPosition="0">
        <references count="2">
          <reference field="4294967294" count="1" selected="0">
            <x v="0"/>
          </reference>
          <reference field="14" count="1" selected="0">
            <x v="2"/>
          </reference>
        </references>
      </pivotArea>
    </chartFormat>
    <chartFormat chart="3" format="10">
      <pivotArea type="data" outline="0" fieldPosition="0">
        <references count="2">
          <reference field="4294967294" count="1" selected="0">
            <x v="0"/>
          </reference>
          <reference field="14" count="1" selected="0">
            <x v="3"/>
          </reference>
        </references>
      </pivotArea>
    </chartFormat>
    <chartFormat chart="8" format="11" series="1">
      <pivotArea type="data" outline="0" fieldPosition="0">
        <references count="1">
          <reference field="4294967294" count="1" selected="0">
            <x v="0"/>
          </reference>
        </references>
      </pivotArea>
    </chartFormat>
    <chartFormat chart="8" format="12">
      <pivotArea type="data" outline="0" fieldPosition="0">
        <references count="2">
          <reference field="4294967294" count="1" selected="0">
            <x v="0"/>
          </reference>
          <reference field="14" count="1" selected="0">
            <x v="0"/>
          </reference>
        </references>
      </pivotArea>
    </chartFormat>
    <chartFormat chart="8" format="13">
      <pivotArea type="data" outline="0" fieldPosition="0">
        <references count="2">
          <reference field="4294967294" count="1" selected="0">
            <x v="0"/>
          </reference>
          <reference field="14" count="1" selected="0">
            <x v="1"/>
          </reference>
        </references>
      </pivotArea>
    </chartFormat>
    <chartFormat chart="8" format="14">
      <pivotArea type="data" outline="0" fieldPosition="0">
        <references count="2">
          <reference field="4294967294" count="1" selected="0">
            <x v="0"/>
          </reference>
          <reference field="14" count="1" selected="0">
            <x v="2"/>
          </reference>
        </references>
      </pivotArea>
    </chartFormat>
    <chartFormat chart="8" format="15">
      <pivotArea type="data" outline="0" fieldPosition="0">
        <references count="2">
          <reference field="4294967294" count="1" selected="0">
            <x v="0"/>
          </reference>
          <reference field="14" count="1" selected="0">
            <x v="3"/>
          </reference>
        </references>
      </pivotArea>
    </chartFormat>
    <chartFormat chart="9" format="16" series="1">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14" count="1" selected="0">
            <x v="0"/>
          </reference>
        </references>
      </pivotArea>
    </chartFormat>
    <chartFormat chart="9" format="18">
      <pivotArea type="data" outline="0" fieldPosition="0">
        <references count="2">
          <reference field="4294967294" count="1" selected="0">
            <x v="0"/>
          </reference>
          <reference field="14" count="1" selected="0">
            <x v="1"/>
          </reference>
        </references>
      </pivotArea>
    </chartFormat>
    <chartFormat chart="9" format="19">
      <pivotArea type="data" outline="0" fieldPosition="0">
        <references count="2">
          <reference field="4294967294" count="1" selected="0">
            <x v="0"/>
          </reference>
          <reference field="14" count="1" selected="0">
            <x v="2"/>
          </reference>
        </references>
      </pivotArea>
    </chartFormat>
    <chartFormat chart="9" format="20">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EDC6640-0604-49AB-994A-CE66643AED55}" name="PivotTable1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L6:V13" firstHeaderRow="1" firstDataRow="2" firstDataCol="1" rowPageCount="1" colPageCount="1"/>
  <pivotFields count="23">
    <pivotField showAll="0"/>
    <pivotField axis="axisPage" showAll="0">
      <items count="30">
        <item x="8"/>
        <item x="26"/>
        <item x="28"/>
        <item x="2"/>
        <item x="17"/>
        <item x="11"/>
        <item x="13"/>
        <item x="20"/>
        <item x="10"/>
        <item x="24"/>
        <item x="9"/>
        <item x="15"/>
        <item x="18"/>
        <item x="12"/>
        <item x="0"/>
        <item x="23"/>
        <item x="14"/>
        <item x="3"/>
        <item x="27"/>
        <item x="5"/>
        <item x="25"/>
        <item x="1"/>
        <item x="7"/>
        <item x="16"/>
        <item x="19"/>
        <item x="22"/>
        <item x="6"/>
        <item x="4"/>
        <item x="21"/>
        <item t="default"/>
      </items>
    </pivotField>
    <pivotField showAll="0"/>
    <pivotField showAll="0">
      <items count="7">
        <item x="5"/>
        <item x="1"/>
        <item x="3"/>
        <item x="0"/>
        <item x="2"/>
        <item x="4"/>
        <item t="default"/>
      </items>
    </pivotField>
    <pivotField numFmtId="14" showAll="0">
      <items count="112">
        <item x="72"/>
        <item x="74"/>
        <item x="71"/>
        <item x="73"/>
        <item x="75"/>
        <item x="76"/>
        <item x="77"/>
        <item x="81"/>
        <item x="93"/>
        <item x="82"/>
        <item x="26"/>
        <item x="78"/>
        <item x="55"/>
        <item x="99"/>
        <item x="80"/>
        <item x="98"/>
        <item x="63"/>
        <item x="28"/>
        <item x="103"/>
        <item x="90"/>
        <item x="25"/>
        <item x="91"/>
        <item x="95"/>
        <item x="100"/>
        <item x="101"/>
        <item x="30"/>
        <item x="27"/>
        <item x="96"/>
        <item x="41"/>
        <item x="102"/>
        <item x="79"/>
        <item x="24"/>
        <item x="94"/>
        <item x="42"/>
        <item x="97"/>
        <item x="37"/>
        <item x="104"/>
        <item x="38"/>
        <item x="83"/>
        <item x="35"/>
        <item x="54"/>
        <item x="92"/>
        <item x="29"/>
        <item x="105"/>
        <item x="64"/>
        <item x="0"/>
        <item x="108"/>
        <item x="2"/>
        <item x="22"/>
        <item x="16"/>
        <item x="110"/>
        <item x="19"/>
        <item x="36"/>
        <item x="32"/>
        <item x="33"/>
        <item x="65"/>
        <item x="34"/>
        <item x="31"/>
        <item x="39"/>
        <item x="5"/>
        <item x="45"/>
        <item x="18"/>
        <item x="107"/>
        <item x="1"/>
        <item x="43"/>
        <item x="57"/>
        <item x="56"/>
        <item x="66"/>
        <item x="109"/>
        <item x="17"/>
        <item x="84"/>
        <item x="3"/>
        <item x="40"/>
        <item x="85"/>
        <item x="20"/>
        <item x="106"/>
        <item x="4"/>
        <item x="44"/>
        <item x="23"/>
        <item x="6"/>
        <item x="67"/>
        <item x="21"/>
        <item x="46"/>
        <item x="48"/>
        <item x="10"/>
        <item x="13"/>
        <item x="47"/>
        <item x="8"/>
        <item x="87"/>
        <item x="49"/>
        <item x="7"/>
        <item x="68"/>
        <item x="50"/>
        <item x="15"/>
        <item x="11"/>
        <item x="86"/>
        <item x="58"/>
        <item x="52"/>
        <item x="53"/>
        <item x="59"/>
        <item x="88"/>
        <item x="60"/>
        <item x="14"/>
        <item x="9"/>
        <item x="51"/>
        <item x="12"/>
        <item x="89"/>
        <item x="69"/>
        <item x="61"/>
        <item x="70"/>
        <item x="62"/>
        <item t="default"/>
      </items>
    </pivotField>
    <pivotField numFmtId="14" showAll="0">
      <items count="126">
        <item x="75"/>
        <item x="77"/>
        <item x="76"/>
        <item x="78"/>
        <item x="79"/>
        <item x="80"/>
        <item x="30"/>
        <item x="87"/>
        <item x="106"/>
        <item x="82"/>
        <item x="83"/>
        <item x="107"/>
        <item x="84"/>
        <item x="27"/>
        <item x="96"/>
        <item x="100"/>
        <item x="109"/>
        <item x="38"/>
        <item x="86"/>
        <item x="28"/>
        <item x="97"/>
        <item x="45"/>
        <item x="58"/>
        <item x="103"/>
        <item x="110"/>
        <item x="81"/>
        <item x="102"/>
        <item x="111"/>
        <item x="98"/>
        <item x="104"/>
        <item x="31"/>
        <item x="105"/>
        <item x="43"/>
        <item x="112"/>
        <item x="85"/>
        <item x="99"/>
        <item x="59"/>
        <item x="113"/>
        <item x="32"/>
        <item x="29"/>
        <item x="33"/>
        <item x="114"/>
        <item x="41"/>
        <item x="108"/>
        <item x="68"/>
        <item x="101"/>
        <item x="40"/>
        <item x="115"/>
        <item x="34"/>
        <item x="60"/>
        <item x="88"/>
        <item x="35"/>
        <item x="36"/>
        <item x="69"/>
        <item x="37"/>
        <item x="89"/>
        <item x="117"/>
        <item x="70"/>
        <item x="1"/>
        <item x="119"/>
        <item x="46"/>
        <item x="61"/>
        <item x="44"/>
        <item x="120"/>
        <item x="18"/>
        <item x="0"/>
        <item x="2"/>
        <item x="122"/>
        <item x="124"/>
        <item x="22"/>
        <item x="121"/>
        <item x="47"/>
        <item x="17"/>
        <item x="90"/>
        <item x="3"/>
        <item x="39"/>
        <item x="4"/>
        <item x="123"/>
        <item x="23"/>
        <item x="118"/>
        <item x="25"/>
        <item x="16"/>
        <item x="5"/>
        <item x="19"/>
        <item x="48"/>
        <item x="26"/>
        <item x="71"/>
        <item x="91"/>
        <item x="20"/>
        <item x="6"/>
        <item x="42"/>
        <item x="49"/>
        <item x="21"/>
        <item x="24"/>
        <item x="50"/>
        <item x="92"/>
        <item x="51"/>
        <item x="116"/>
        <item x="8"/>
        <item x="9"/>
        <item x="53"/>
        <item x="54"/>
        <item x="55"/>
        <item x="11"/>
        <item x="12"/>
        <item x="56"/>
        <item x="57"/>
        <item x="64"/>
        <item x="94"/>
        <item x="62"/>
        <item x="10"/>
        <item x="14"/>
        <item x="52"/>
        <item x="65"/>
        <item x="93"/>
        <item x="13"/>
        <item x="95"/>
        <item x="7"/>
        <item x="72"/>
        <item x="63"/>
        <item x="15"/>
        <item x="66"/>
        <item x="74"/>
        <item x="67"/>
        <item x="73"/>
        <item t="default"/>
      </items>
    </pivotField>
    <pivotField axis="axisCol" showAll="0">
      <items count="10">
        <item x="1"/>
        <item x="6"/>
        <item x="0"/>
        <item x="4"/>
        <item x="5"/>
        <item x="3"/>
        <item x="8"/>
        <item x="7"/>
        <item x="2"/>
        <item t="default"/>
      </items>
    </pivotField>
    <pivotField showAll="0"/>
    <pivotField showAll="0"/>
    <pivotField showAll="0"/>
    <pivotField showAll="0"/>
    <pivotField showAll="0">
      <items count="9">
        <item x="3"/>
        <item x="7"/>
        <item x="4"/>
        <item x="0"/>
        <item x="1"/>
        <item x="5"/>
        <item x="6"/>
        <item x="2"/>
        <item t="default"/>
      </items>
    </pivotField>
    <pivotField numFmtId="164" showAll="0"/>
    <pivotField showAll="0">
      <items count="8">
        <item x="2"/>
        <item x="5"/>
        <item x="3"/>
        <item x="6"/>
        <item x="0"/>
        <item x="4"/>
        <item x="1"/>
        <item t="default"/>
      </items>
    </pivotField>
    <pivotField showAll="0"/>
    <pivotField numFmtId="164" showAll="0"/>
    <pivotField dataField="1" numFmtId="164" showAll="0"/>
    <pivotField showAll="0" defaultSubtotal="0"/>
    <pivotField showAll="0" defaultSubtotal="0"/>
    <pivotField axis="axisRow" showAll="0" defaultSubtotal="0">
      <items count="7">
        <item x="0"/>
        <item x="1"/>
        <item x="2"/>
        <item x="3"/>
        <item x="4"/>
        <item x="5"/>
        <item x="6"/>
      </items>
    </pivotField>
    <pivotField showAll="0" defaultSubtotal="0"/>
    <pivotField showAll="0" defaultSubtotal="0"/>
    <pivotField showAll="0" defaultSubtotal="0">
      <items count="7">
        <item x="0"/>
        <item x="1"/>
        <item x="2"/>
        <item x="3"/>
        <item x="4"/>
        <item x="5"/>
        <item x="6"/>
      </items>
    </pivotField>
  </pivotFields>
  <rowFields count="1">
    <field x="19"/>
  </rowFields>
  <rowItems count="6">
    <i>
      <x v="1"/>
    </i>
    <i>
      <x v="2"/>
    </i>
    <i>
      <x v="3"/>
    </i>
    <i>
      <x v="4"/>
    </i>
    <i>
      <x v="5"/>
    </i>
    <i t="grand">
      <x/>
    </i>
  </rowItems>
  <colFields count="1">
    <field x="6"/>
  </colFields>
  <colItems count="10">
    <i>
      <x/>
    </i>
    <i>
      <x v="1"/>
    </i>
    <i>
      <x v="2"/>
    </i>
    <i>
      <x v="3"/>
    </i>
    <i>
      <x v="4"/>
    </i>
    <i>
      <x v="5"/>
    </i>
    <i>
      <x v="6"/>
    </i>
    <i>
      <x v="7"/>
    </i>
    <i>
      <x v="8"/>
    </i>
    <i t="grand">
      <x/>
    </i>
  </colItems>
  <pageFields count="1">
    <pageField fld="1" hier="-1"/>
  </pageFields>
  <dataFields count="1">
    <dataField name="Sum of Total cost" fld="16" baseField="0" baseItem="0"/>
  </dataFields>
  <chartFormats count="9">
    <chartFormat chart="3" format="18" series="1">
      <pivotArea type="data" outline="0" fieldPosition="0">
        <references count="2">
          <reference field="4294967294" count="1" selected="0">
            <x v="0"/>
          </reference>
          <reference field="6" count="1" selected="0">
            <x v="0"/>
          </reference>
        </references>
      </pivotArea>
    </chartFormat>
    <chartFormat chart="3" format="19" series="1">
      <pivotArea type="data" outline="0" fieldPosition="0">
        <references count="2">
          <reference field="4294967294" count="1" selected="0">
            <x v="0"/>
          </reference>
          <reference field="6" count="1" selected="0">
            <x v="1"/>
          </reference>
        </references>
      </pivotArea>
    </chartFormat>
    <chartFormat chart="3" format="20" series="1">
      <pivotArea type="data" outline="0" fieldPosition="0">
        <references count="2">
          <reference field="4294967294" count="1" selected="0">
            <x v="0"/>
          </reference>
          <reference field="6" count="1" selected="0">
            <x v="2"/>
          </reference>
        </references>
      </pivotArea>
    </chartFormat>
    <chartFormat chart="3" format="21" series="1">
      <pivotArea type="data" outline="0" fieldPosition="0">
        <references count="2">
          <reference field="4294967294" count="1" selected="0">
            <x v="0"/>
          </reference>
          <reference field="6" count="1" selected="0">
            <x v="3"/>
          </reference>
        </references>
      </pivotArea>
    </chartFormat>
    <chartFormat chart="3" format="22" series="1">
      <pivotArea type="data" outline="0" fieldPosition="0">
        <references count="2">
          <reference field="4294967294" count="1" selected="0">
            <x v="0"/>
          </reference>
          <reference field="6" count="1" selected="0">
            <x v="4"/>
          </reference>
        </references>
      </pivotArea>
    </chartFormat>
    <chartFormat chart="3" format="23" series="1">
      <pivotArea type="data" outline="0" fieldPosition="0">
        <references count="2">
          <reference field="4294967294" count="1" selected="0">
            <x v="0"/>
          </reference>
          <reference field="6" count="1" selected="0">
            <x v="5"/>
          </reference>
        </references>
      </pivotArea>
    </chartFormat>
    <chartFormat chart="3" format="24" series="1">
      <pivotArea type="data" outline="0" fieldPosition="0">
        <references count="2">
          <reference field="4294967294" count="1" selected="0">
            <x v="0"/>
          </reference>
          <reference field="6" count="1" selected="0">
            <x v="6"/>
          </reference>
        </references>
      </pivotArea>
    </chartFormat>
    <chartFormat chart="3" format="25" series="1">
      <pivotArea type="data" outline="0" fieldPosition="0">
        <references count="2">
          <reference field="4294967294" count="1" selected="0">
            <x v="0"/>
          </reference>
          <reference field="6" count="1" selected="0">
            <x v="7"/>
          </reference>
        </references>
      </pivotArea>
    </chartFormat>
    <chartFormat chart="3" format="26" series="1">
      <pivotArea type="data" outline="0" fieldPosition="0">
        <references count="2">
          <reference field="4294967294" count="1" selected="0">
            <x v="0"/>
          </reference>
          <reference field="6"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8790F7F-504C-4E48-BFBE-28761F5D569A}" name="PivotTable1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0:H27" firstHeaderRow="1" firstDataRow="2" firstDataCol="1"/>
  <pivotFields count="23">
    <pivotField showAll="0"/>
    <pivotField showAll="0"/>
    <pivotField dataField="1" showAll="0"/>
    <pivotField axis="axisCol" showAll="0">
      <items count="7">
        <item x="5"/>
        <item x="1"/>
        <item x="3"/>
        <item x="0"/>
        <item x="2"/>
        <item x="4"/>
        <item t="default"/>
      </items>
    </pivotField>
    <pivotField numFmtId="14" showAll="0">
      <items count="112">
        <item x="72"/>
        <item x="74"/>
        <item x="71"/>
        <item x="73"/>
        <item x="75"/>
        <item x="76"/>
        <item x="77"/>
        <item x="81"/>
        <item x="93"/>
        <item x="82"/>
        <item x="26"/>
        <item x="78"/>
        <item x="55"/>
        <item x="99"/>
        <item x="80"/>
        <item x="98"/>
        <item x="63"/>
        <item x="28"/>
        <item x="103"/>
        <item x="90"/>
        <item x="25"/>
        <item x="91"/>
        <item x="95"/>
        <item x="100"/>
        <item x="101"/>
        <item x="30"/>
        <item x="27"/>
        <item x="96"/>
        <item x="41"/>
        <item x="102"/>
        <item x="79"/>
        <item x="24"/>
        <item x="94"/>
        <item x="42"/>
        <item x="97"/>
        <item x="37"/>
        <item x="104"/>
        <item x="38"/>
        <item x="83"/>
        <item x="35"/>
        <item x="54"/>
        <item x="92"/>
        <item x="29"/>
        <item x="105"/>
        <item x="64"/>
        <item x="0"/>
        <item x="108"/>
        <item x="2"/>
        <item x="22"/>
        <item x="16"/>
        <item x="110"/>
        <item x="19"/>
        <item x="36"/>
        <item x="32"/>
        <item x="33"/>
        <item x="65"/>
        <item x="34"/>
        <item x="31"/>
        <item x="39"/>
        <item x="5"/>
        <item x="45"/>
        <item x="18"/>
        <item x="107"/>
        <item x="1"/>
        <item x="43"/>
        <item x="57"/>
        <item x="56"/>
        <item x="66"/>
        <item x="109"/>
        <item x="17"/>
        <item x="84"/>
        <item x="3"/>
        <item x="40"/>
        <item x="85"/>
        <item x="20"/>
        <item x="106"/>
        <item x="4"/>
        <item x="44"/>
        <item x="23"/>
        <item x="6"/>
        <item x="67"/>
        <item x="21"/>
        <item x="46"/>
        <item x="48"/>
        <item x="10"/>
        <item x="13"/>
        <item x="47"/>
        <item x="8"/>
        <item x="87"/>
        <item x="49"/>
        <item x="7"/>
        <item x="68"/>
        <item x="50"/>
        <item x="15"/>
        <item x="11"/>
        <item x="86"/>
        <item x="58"/>
        <item x="52"/>
        <item x="53"/>
        <item x="59"/>
        <item x="88"/>
        <item x="60"/>
        <item x="14"/>
        <item x="9"/>
        <item x="51"/>
        <item x="12"/>
        <item x="89"/>
        <item x="69"/>
        <item x="61"/>
        <item x="70"/>
        <item x="62"/>
        <item t="default"/>
      </items>
    </pivotField>
    <pivotField numFmtId="14" showAll="0">
      <items count="126">
        <item x="75"/>
        <item x="77"/>
        <item x="76"/>
        <item x="78"/>
        <item x="79"/>
        <item x="80"/>
        <item x="30"/>
        <item x="87"/>
        <item x="106"/>
        <item x="82"/>
        <item x="83"/>
        <item x="107"/>
        <item x="84"/>
        <item x="27"/>
        <item x="96"/>
        <item x="100"/>
        <item x="109"/>
        <item x="38"/>
        <item x="86"/>
        <item x="28"/>
        <item x="97"/>
        <item x="45"/>
        <item x="58"/>
        <item x="103"/>
        <item x="110"/>
        <item x="81"/>
        <item x="102"/>
        <item x="111"/>
        <item x="98"/>
        <item x="104"/>
        <item x="31"/>
        <item x="105"/>
        <item x="43"/>
        <item x="112"/>
        <item x="85"/>
        <item x="99"/>
        <item x="59"/>
        <item x="113"/>
        <item x="32"/>
        <item x="29"/>
        <item x="33"/>
        <item x="114"/>
        <item x="41"/>
        <item x="108"/>
        <item x="68"/>
        <item x="101"/>
        <item x="40"/>
        <item x="115"/>
        <item x="34"/>
        <item x="60"/>
        <item x="88"/>
        <item x="35"/>
        <item x="36"/>
        <item x="69"/>
        <item x="37"/>
        <item x="89"/>
        <item x="117"/>
        <item x="70"/>
        <item x="1"/>
        <item x="119"/>
        <item x="46"/>
        <item x="61"/>
        <item x="44"/>
        <item x="120"/>
        <item x="18"/>
        <item x="0"/>
        <item x="2"/>
        <item x="122"/>
        <item x="124"/>
        <item x="22"/>
        <item x="121"/>
        <item x="47"/>
        <item x="17"/>
        <item x="90"/>
        <item x="3"/>
        <item x="39"/>
        <item x="4"/>
        <item x="123"/>
        <item x="23"/>
        <item x="118"/>
        <item x="25"/>
        <item x="16"/>
        <item x="5"/>
        <item x="19"/>
        <item x="48"/>
        <item x="26"/>
        <item x="71"/>
        <item x="91"/>
        <item x="20"/>
        <item x="6"/>
        <item x="42"/>
        <item x="49"/>
        <item x="21"/>
        <item x="24"/>
        <item x="50"/>
        <item x="92"/>
        <item x="51"/>
        <item x="116"/>
        <item x="8"/>
        <item x="9"/>
        <item x="53"/>
        <item x="54"/>
        <item x="55"/>
        <item x="11"/>
        <item x="12"/>
        <item x="56"/>
        <item x="57"/>
        <item x="64"/>
        <item x="94"/>
        <item x="62"/>
        <item x="10"/>
        <item x="14"/>
        <item x="52"/>
        <item x="65"/>
        <item x="93"/>
        <item x="13"/>
        <item x="95"/>
        <item x="7"/>
        <item x="72"/>
        <item x="63"/>
        <item x="15"/>
        <item x="66"/>
        <item x="74"/>
        <item x="67"/>
        <item x="73"/>
        <item t="default"/>
      </items>
    </pivotField>
    <pivotField showAll="0"/>
    <pivotField showAll="0"/>
    <pivotField showAll="0"/>
    <pivotField showAll="0"/>
    <pivotField showAll="0"/>
    <pivotField showAll="0">
      <items count="9">
        <item x="3"/>
        <item x="7"/>
        <item x="4"/>
        <item x="0"/>
        <item x="1"/>
        <item x="5"/>
        <item x="6"/>
        <item x="2"/>
        <item t="default"/>
      </items>
    </pivotField>
    <pivotField numFmtId="164" showAll="0"/>
    <pivotField showAll="0">
      <items count="8">
        <item x="2"/>
        <item x="5"/>
        <item x="3"/>
        <item x="6"/>
        <item x="0"/>
        <item x="4"/>
        <item x="1"/>
        <item t="default"/>
      </items>
    </pivotField>
    <pivotField showAll="0"/>
    <pivotField numFmtId="164" showAll="0"/>
    <pivotField numFmtId="164" showAll="0"/>
    <pivotField showAll="0" defaultSubtotal="0"/>
    <pivotField showAll="0" defaultSubtotal="0"/>
    <pivotField axis="axisRow" showAll="0" defaultSubtotal="0">
      <items count="7">
        <item x="0"/>
        <item x="1"/>
        <item x="2"/>
        <item x="3"/>
        <item x="4"/>
        <item x="5"/>
        <item x="6"/>
      </items>
    </pivotField>
    <pivotField showAll="0" defaultSubtotal="0"/>
    <pivotField showAll="0" defaultSubtotal="0"/>
    <pivotField showAll="0" defaultSubtotal="0">
      <items count="7">
        <item x="0"/>
        <item x="1"/>
        <item x="2"/>
        <item x="3"/>
        <item x="4"/>
        <item x="5"/>
        <item x="6"/>
      </items>
    </pivotField>
  </pivotFields>
  <rowFields count="1">
    <field x="19"/>
  </rowFields>
  <rowItems count="6">
    <i>
      <x v="1"/>
    </i>
    <i>
      <x v="2"/>
    </i>
    <i>
      <x v="3"/>
    </i>
    <i>
      <x v="4"/>
    </i>
    <i>
      <x v="5"/>
    </i>
    <i t="grand">
      <x/>
    </i>
  </rowItems>
  <colFields count="1">
    <field x="3"/>
  </colFields>
  <colItems count="7">
    <i>
      <x/>
    </i>
    <i>
      <x v="1"/>
    </i>
    <i>
      <x v="2"/>
    </i>
    <i>
      <x v="3"/>
    </i>
    <i>
      <x v="4"/>
    </i>
    <i>
      <x v="5"/>
    </i>
    <i t="grand">
      <x/>
    </i>
  </colItems>
  <dataFields count="1">
    <dataField name="Count of Destination Country" fld="2" subtotal="count" baseField="0" baseItem="0"/>
  </dataFields>
  <chartFormats count="6">
    <chartFormat chart="3" format="12" series="1">
      <pivotArea type="data" outline="0" fieldPosition="0">
        <references count="2">
          <reference field="4294967294" count="1" selected="0">
            <x v="0"/>
          </reference>
          <reference field="3" count="1" selected="0">
            <x v="0"/>
          </reference>
        </references>
      </pivotArea>
    </chartFormat>
    <chartFormat chart="3" format="13" series="1">
      <pivotArea type="data" outline="0" fieldPosition="0">
        <references count="2">
          <reference field="4294967294" count="1" selected="0">
            <x v="0"/>
          </reference>
          <reference field="3" count="1" selected="0">
            <x v="1"/>
          </reference>
        </references>
      </pivotArea>
    </chartFormat>
    <chartFormat chart="3" format="14" series="1">
      <pivotArea type="data" outline="0" fieldPosition="0">
        <references count="2">
          <reference field="4294967294" count="1" selected="0">
            <x v="0"/>
          </reference>
          <reference field="3" count="1" selected="0">
            <x v="2"/>
          </reference>
        </references>
      </pivotArea>
    </chartFormat>
    <chartFormat chart="3" format="15" series="1">
      <pivotArea type="data" outline="0" fieldPosition="0">
        <references count="2">
          <reference field="4294967294" count="1" selected="0">
            <x v="0"/>
          </reference>
          <reference field="3" count="1" selected="0">
            <x v="3"/>
          </reference>
        </references>
      </pivotArea>
    </chartFormat>
    <chartFormat chart="3" format="16" series="1">
      <pivotArea type="data" outline="0" fieldPosition="0">
        <references count="2">
          <reference field="4294967294" count="1" selected="0">
            <x v="0"/>
          </reference>
          <reference field="3" count="1" selected="0">
            <x v="4"/>
          </reference>
        </references>
      </pivotArea>
    </chartFormat>
    <chartFormat chart="3" format="17" series="1">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B31A84D-9FFC-4164-9999-A9BC1240D2BF}" name="PivotTable1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L46:U54" firstHeaderRow="1" firstDataRow="2" firstDataCol="1"/>
  <pivotFields count="23">
    <pivotField showAll="0"/>
    <pivotField showAll="0"/>
    <pivotField showAll="0"/>
    <pivotField axis="axisRow" showAll="0">
      <items count="7">
        <item x="5"/>
        <item x="1"/>
        <item x="3"/>
        <item x="0"/>
        <item x="2"/>
        <item x="4"/>
        <item t="default"/>
      </items>
    </pivotField>
    <pivotField numFmtId="14" showAll="0">
      <items count="112">
        <item x="72"/>
        <item x="74"/>
        <item x="71"/>
        <item x="73"/>
        <item x="75"/>
        <item x="76"/>
        <item x="77"/>
        <item x="81"/>
        <item x="93"/>
        <item x="82"/>
        <item x="26"/>
        <item x="78"/>
        <item x="55"/>
        <item x="99"/>
        <item x="80"/>
        <item x="98"/>
        <item x="63"/>
        <item x="28"/>
        <item x="103"/>
        <item x="90"/>
        <item x="25"/>
        <item x="91"/>
        <item x="95"/>
        <item x="100"/>
        <item x="101"/>
        <item x="30"/>
        <item x="27"/>
        <item x="96"/>
        <item x="41"/>
        <item x="102"/>
        <item x="79"/>
        <item x="24"/>
        <item x="94"/>
        <item x="42"/>
        <item x="97"/>
        <item x="37"/>
        <item x="104"/>
        <item x="38"/>
        <item x="83"/>
        <item x="35"/>
        <item x="54"/>
        <item x="92"/>
        <item x="29"/>
        <item x="105"/>
        <item x="64"/>
        <item x="0"/>
        <item x="108"/>
        <item x="2"/>
        <item x="22"/>
        <item x="16"/>
        <item x="110"/>
        <item x="19"/>
        <item x="36"/>
        <item x="32"/>
        <item x="33"/>
        <item x="65"/>
        <item x="34"/>
        <item x="31"/>
        <item x="39"/>
        <item x="5"/>
        <item x="45"/>
        <item x="18"/>
        <item x="107"/>
        <item x="1"/>
        <item x="43"/>
        <item x="57"/>
        <item x="56"/>
        <item x="66"/>
        <item x="109"/>
        <item x="17"/>
        <item x="84"/>
        <item x="3"/>
        <item x="40"/>
        <item x="85"/>
        <item x="20"/>
        <item x="106"/>
        <item x="4"/>
        <item x="44"/>
        <item x="23"/>
        <item x="6"/>
        <item x="67"/>
        <item x="21"/>
        <item x="46"/>
        <item x="48"/>
        <item x="10"/>
        <item x="13"/>
        <item x="47"/>
        <item x="8"/>
        <item x="87"/>
        <item x="49"/>
        <item x="7"/>
        <item x="68"/>
        <item x="50"/>
        <item x="15"/>
        <item x="11"/>
        <item x="86"/>
        <item x="58"/>
        <item x="52"/>
        <item x="53"/>
        <item x="59"/>
        <item x="88"/>
        <item x="60"/>
        <item x="14"/>
        <item x="9"/>
        <item x="51"/>
        <item x="12"/>
        <item x="89"/>
        <item x="69"/>
        <item x="61"/>
        <item x="70"/>
        <item x="62"/>
        <item t="default"/>
      </items>
    </pivotField>
    <pivotField numFmtId="14" showAll="0">
      <items count="126">
        <item x="75"/>
        <item x="77"/>
        <item x="76"/>
        <item x="78"/>
        <item x="79"/>
        <item x="80"/>
        <item x="30"/>
        <item x="87"/>
        <item x="106"/>
        <item x="82"/>
        <item x="83"/>
        <item x="107"/>
        <item x="84"/>
        <item x="27"/>
        <item x="96"/>
        <item x="100"/>
        <item x="109"/>
        <item x="38"/>
        <item x="86"/>
        <item x="28"/>
        <item x="97"/>
        <item x="45"/>
        <item x="58"/>
        <item x="103"/>
        <item x="110"/>
        <item x="81"/>
        <item x="102"/>
        <item x="111"/>
        <item x="98"/>
        <item x="104"/>
        <item x="31"/>
        <item x="105"/>
        <item x="43"/>
        <item x="112"/>
        <item x="85"/>
        <item x="99"/>
        <item x="59"/>
        <item x="113"/>
        <item x="32"/>
        <item x="29"/>
        <item x="33"/>
        <item x="114"/>
        <item x="41"/>
        <item x="108"/>
        <item x="68"/>
        <item x="101"/>
        <item x="40"/>
        <item x="115"/>
        <item x="34"/>
        <item x="60"/>
        <item x="88"/>
        <item x="35"/>
        <item x="36"/>
        <item x="69"/>
        <item x="37"/>
        <item x="89"/>
        <item x="117"/>
        <item x="70"/>
        <item x="1"/>
        <item x="119"/>
        <item x="46"/>
        <item x="61"/>
        <item x="44"/>
        <item x="120"/>
        <item x="18"/>
        <item x="0"/>
        <item x="2"/>
        <item x="122"/>
        <item x="124"/>
        <item x="22"/>
        <item x="121"/>
        <item x="47"/>
        <item x="17"/>
        <item x="90"/>
        <item x="3"/>
        <item x="39"/>
        <item x="4"/>
        <item x="123"/>
        <item x="23"/>
        <item x="118"/>
        <item x="25"/>
        <item x="16"/>
        <item x="5"/>
        <item x="19"/>
        <item x="48"/>
        <item x="26"/>
        <item x="71"/>
        <item x="91"/>
        <item x="20"/>
        <item x="6"/>
        <item x="42"/>
        <item x="49"/>
        <item x="21"/>
        <item x="24"/>
        <item x="50"/>
        <item x="92"/>
        <item x="51"/>
        <item x="116"/>
        <item x="8"/>
        <item x="9"/>
        <item x="53"/>
        <item x="54"/>
        <item x="55"/>
        <item x="11"/>
        <item x="12"/>
        <item x="56"/>
        <item x="57"/>
        <item x="64"/>
        <item x="94"/>
        <item x="62"/>
        <item x="10"/>
        <item x="14"/>
        <item x="52"/>
        <item x="65"/>
        <item x="93"/>
        <item x="13"/>
        <item x="95"/>
        <item x="7"/>
        <item x="72"/>
        <item x="63"/>
        <item x="15"/>
        <item x="66"/>
        <item x="74"/>
        <item x="67"/>
        <item x="73"/>
        <item t="default"/>
      </items>
    </pivotField>
    <pivotField showAll="0"/>
    <pivotField showAll="0"/>
    <pivotField showAll="0"/>
    <pivotField showAll="0"/>
    <pivotField showAll="0"/>
    <pivotField axis="axisCol" showAll="0">
      <items count="9">
        <item x="3"/>
        <item x="7"/>
        <item x="4"/>
        <item x="0"/>
        <item x="1"/>
        <item x="5"/>
        <item x="6"/>
        <item x="2"/>
        <item t="default"/>
      </items>
    </pivotField>
    <pivotField dataField="1" numFmtId="164" showAll="0"/>
    <pivotField showAll="0">
      <items count="8">
        <item x="2"/>
        <item x="5"/>
        <item x="3"/>
        <item x="6"/>
        <item x="0"/>
        <item x="4"/>
        <item x="1"/>
        <item t="default"/>
      </items>
    </pivotField>
    <pivotField showAll="0"/>
    <pivotField numFmtId="164" showAll="0"/>
    <pivotField numFmtId="164" showAll="0"/>
    <pivotField showAll="0" defaultSubtotal="0"/>
    <pivotField showAll="0" defaultSubtotal="0"/>
    <pivotField showAll="0" defaultSubtotal="0">
      <items count="7">
        <item x="0"/>
        <item x="1"/>
        <item x="2"/>
        <item x="3"/>
        <item x="4"/>
        <item x="5"/>
        <item x="6"/>
      </items>
    </pivotField>
    <pivotField showAll="0" defaultSubtotal="0"/>
    <pivotField showAll="0" defaultSubtotal="0"/>
    <pivotField showAll="0" defaultSubtotal="0">
      <items count="7">
        <item x="0"/>
        <item x="1"/>
        <item x="2"/>
        <item x="3"/>
        <item x="4"/>
        <item x="5"/>
        <item x="6"/>
      </items>
    </pivotField>
  </pivotFields>
  <rowFields count="1">
    <field x="3"/>
  </rowFields>
  <rowItems count="7">
    <i>
      <x/>
    </i>
    <i>
      <x v="1"/>
    </i>
    <i>
      <x v="2"/>
    </i>
    <i>
      <x v="3"/>
    </i>
    <i>
      <x v="4"/>
    </i>
    <i>
      <x v="5"/>
    </i>
    <i t="grand">
      <x/>
    </i>
  </rowItems>
  <colFields count="1">
    <field x="11"/>
  </colFields>
  <colItems count="9">
    <i>
      <x/>
    </i>
    <i>
      <x v="1"/>
    </i>
    <i>
      <x v="2"/>
    </i>
    <i>
      <x v="3"/>
    </i>
    <i>
      <x v="4"/>
    </i>
    <i>
      <x v="5"/>
    </i>
    <i>
      <x v="6"/>
    </i>
    <i>
      <x v="7"/>
    </i>
    <i t="grand">
      <x/>
    </i>
  </colItems>
  <dataFields count="1">
    <dataField name="Sum of Accommodation cost" fld="12" baseField="0" baseItem="0"/>
  </dataFields>
  <chartFormats count="8">
    <chartFormat chart="7" format="16" series="1">
      <pivotArea type="data" outline="0" fieldPosition="0">
        <references count="2">
          <reference field="4294967294" count="1" selected="0">
            <x v="0"/>
          </reference>
          <reference field="11" count="1" selected="0">
            <x v="0"/>
          </reference>
        </references>
      </pivotArea>
    </chartFormat>
    <chartFormat chart="7" format="17" series="1">
      <pivotArea type="data" outline="0" fieldPosition="0">
        <references count="2">
          <reference field="4294967294" count="1" selected="0">
            <x v="0"/>
          </reference>
          <reference field="11" count="1" selected="0">
            <x v="1"/>
          </reference>
        </references>
      </pivotArea>
    </chartFormat>
    <chartFormat chart="7" format="18" series="1">
      <pivotArea type="data" outline="0" fieldPosition="0">
        <references count="2">
          <reference field="4294967294" count="1" selected="0">
            <x v="0"/>
          </reference>
          <reference field="11" count="1" selected="0">
            <x v="2"/>
          </reference>
        </references>
      </pivotArea>
    </chartFormat>
    <chartFormat chart="7" format="19" series="1">
      <pivotArea type="data" outline="0" fieldPosition="0">
        <references count="2">
          <reference field="4294967294" count="1" selected="0">
            <x v="0"/>
          </reference>
          <reference field="11" count="1" selected="0">
            <x v="3"/>
          </reference>
        </references>
      </pivotArea>
    </chartFormat>
    <chartFormat chart="7" format="20" series="1">
      <pivotArea type="data" outline="0" fieldPosition="0">
        <references count="2">
          <reference field="4294967294" count="1" selected="0">
            <x v="0"/>
          </reference>
          <reference field="11" count="1" selected="0">
            <x v="4"/>
          </reference>
        </references>
      </pivotArea>
    </chartFormat>
    <chartFormat chart="7" format="21" series="1">
      <pivotArea type="data" outline="0" fieldPosition="0">
        <references count="2">
          <reference field="4294967294" count="1" selected="0">
            <x v="0"/>
          </reference>
          <reference field="11" count="1" selected="0">
            <x v="5"/>
          </reference>
        </references>
      </pivotArea>
    </chartFormat>
    <chartFormat chart="7" format="22" series="1">
      <pivotArea type="data" outline="0" fieldPosition="0">
        <references count="2">
          <reference field="4294967294" count="1" selected="0">
            <x v="0"/>
          </reference>
          <reference field="11" count="1" selected="0">
            <x v="6"/>
          </reference>
        </references>
      </pivotArea>
    </chartFormat>
    <chartFormat chart="7" format="23" series="1">
      <pivotArea type="data" outline="0" fieldPosition="0">
        <references count="2">
          <reference field="4294967294" count="1" selected="0">
            <x v="0"/>
          </reference>
          <reference field="1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A458CBF-1ACA-4D33-A720-122F3709D2DD}" name="PivotTable1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L16:N41" firstHeaderRow="0" firstDataRow="1" firstDataCol="1"/>
  <pivotFields count="17">
    <pivotField showAll="0"/>
    <pivotField showAll="0"/>
    <pivotField axis="axisRow" showAll="0">
      <items count="25">
        <item x="6"/>
        <item x="7"/>
        <item x="22"/>
        <item x="19"/>
        <item x="18"/>
        <item x="5"/>
        <item x="13"/>
        <item x="17"/>
        <item x="12"/>
        <item x="2"/>
        <item x="16"/>
        <item x="4"/>
        <item x="10"/>
        <item x="14"/>
        <item x="8"/>
        <item x="23"/>
        <item x="15"/>
        <item x="21"/>
        <item x="20"/>
        <item x="11"/>
        <item x="1"/>
        <item x="0"/>
        <item x="9"/>
        <item x="3"/>
        <item t="default"/>
      </items>
    </pivotField>
    <pivotField showAll="0"/>
    <pivotField numFmtId="14" showAll="0"/>
    <pivotField numFmtId="14" showAll="0"/>
    <pivotField showAll="0"/>
    <pivotField showAll="0"/>
    <pivotField showAll="0"/>
    <pivotField showAll="0"/>
    <pivotField showAll="0"/>
    <pivotField showAll="0"/>
    <pivotField dataField="1" numFmtId="164" showAll="0"/>
    <pivotField showAll="0"/>
    <pivotField showAll="0"/>
    <pivotField dataField="1" numFmtId="164" showAll="0"/>
    <pivotField numFmtId="164"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Sum of Transportation cost" fld="15" baseField="0" baseItem="0"/>
    <dataField name="Sum of Accommodation cost" fld="12" baseField="0" baseItem="0"/>
  </dataFields>
  <chartFormats count="4">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10" format="8" series="1">
      <pivotArea type="data" outline="0" fieldPosition="0">
        <references count="1">
          <reference field="4294967294" count="1" selected="0">
            <x v="0"/>
          </reference>
        </references>
      </pivotArea>
    </chartFormat>
    <chartFormat chart="1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3D9C26C-254E-4852-A320-9B4665A456E5}" name="PivotTable1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3:B16" firstHeaderRow="1" firstDataRow="1" firstDataCol="1"/>
  <pivotFields count="17">
    <pivotField showAll="0"/>
    <pivotField showAll="0"/>
    <pivotField showAll="0"/>
    <pivotField showAll="0"/>
    <pivotField numFmtId="14" showAll="0"/>
    <pivotField numFmtId="14" showAll="0"/>
    <pivotField showAll="0"/>
    <pivotField showAll="0"/>
    <pivotField showAll="0"/>
    <pivotField axis="axisRow" dataField="1" showAll="0">
      <items count="3">
        <item x="1"/>
        <item x="0"/>
        <item t="default"/>
      </items>
    </pivotField>
    <pivotField showAll="0"/>
    <pivotField showAll="0"/>
    <pivotField numFmtId="164" showAll="0"/>
    <pivotField showAll="0"/>
    <pivotField showAll="0"/>
    <pivotField numFmtId="164" showAll="0"/>
    <pivotField numFmtId="164" showAll="0"/>
  </pivotFields>
  <rowFields count="1">
    <field x="9"/>
  </rowFields>
  <rowItems count="3">
    <i>
      <x/>
    </i>
    <i>
      <x v="1"/>
    </i>
    <i t="grand">
      <x/>
    </i>
  </rowItems>
  <colItems count="1">
    <i/>
  </colItems>
  <dataFields count="1">
    <dataField name="Count of Gender" fld="9" subtotal="count" baseField="0" baseItem="0"/>
  </dataFields>
  <chartFormats count="9">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9" count="1" selected="0">
            <x v="0"/>
          </reference>
        </references>
      </pivotArea>
    </chartFormat>
    <chartFormat chart="3" format="6">
      <pivotArea type="data" outline="0" fieldPosition="0">
        <references count="2">
          <reference field="4294967294" count="1" selected="0">
            <x v="0"/>
          </reference>
          <reference field="9" count="1" selected="0">
            <x v="1"/>
          </reference>
        </references>
      </pivotArea>
    </chartFormat>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9" count="1" selected="0">
            <x v="0"/>
          </reference>
        </references>
      </pivotArea>
    </chartFormat>
    <chartFormat chart="6" format="9">
      <pivotArea type="data" outline="0" fieldPosition="0">
        <references count="2">
          <reference field="4294967294" count="1" selected="0">
            <x v="0"/>
          </reference>
          <reference field="9" count="1" selected="0">
            <x v="1"/>
          </reference>
        </references>
      </pivotArea>
    </chartFormat>
    <chartFormat chart="7" format="10" series="1">
      <pivotArea type="data" outline="0" fieldPosition="0">
        <references count="1">
          <reference field="4294967294" count="1" selected="0">
            <x v="0"/>
          </reference>
        </references>
      </pivotArea>
    </chartFormat>
    <chartFormat chart="7" format="11">
      <pivotArea type="data" outline="0" fieldPosition="0">
        <references count="2">
          <reference field="4294967294" count="1" selected="0">
            <x v="0"/>
          </reference>
          <reference field="9" count="1" selected="0">
            <x v="0"/>
          </reference>
        </references>
      </pivotArea>
    </chartFormat>
    <chartFormat chart="7" format="12">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F8DF30-70F1-4638-A3D1-B451A0CEFDC9}"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44:D52" firstHeaderRow="1" firstDataRow="2" firstDataCol="1"/>
  <pivotFields count="17">
    <pivotField showAll="0"/>
    <pivotField axis="axisRow" showAll="0">
      <items count="30">
        <item x="8"/>
        <item x="26"/>
        <item x="28"/>
        <item x="2"/>
        <item x="17"/>
        <item x="11"/>
        <item x="13"/>
        <item x="20"/>
        <item x="10"/>
        <item x="24"/>
        <item x="9"/>
        <item x="15"/>
        <item x="18"/>
        <item x="12"/>
        <item x="0"/>
        <item x="23"/>
        <item x="14"/>
        <item x="3"/>
        <item x="27"/>
        <item x="5"/>
        <item x="25"/>
        <item x="1"/>
        <item x="7"/>
        <item x="16"/>
        <item x="19"/>
        <item x="22"/>
        <item x="6"/>
        <item x="4"/>
        <item x="21"/>
        <item t="default"/>
      </items>
    </pivotField>
    <pivotField showAll="0"/>
    <pivotField axis="axisRow" showAll="0">
      <items count="7">
        <item sd="0" x="5"/>
        <item sd="0" x="1"/>
        <item sd="0" x="3"/>
        <item sd="0" x="0"/>
        <item sd="0" x="2"/>
        <item sd="0" x="4"/>
        <item t="default" sd="0"/>
      </items>
    </pivotField>
    <pivotField numFmtId="14" showAll="0"/>
    <pivotField numFmtId="14" showAll="0"/>
    <pivotField showAll="0"/>
    <pivotField showAll="0"/>
    <pivotField showAll="0"/>
    <pivotField axis="axisCol" showAll="0">
      <items count="3">
        <item x="1"/>
        <item x="0"/>
        <item t="default"/>
      </items>
    </pivotField>
    <pivotField showAll="0"/>
    <pivotField showAll="0"/>
    <pivotField numFmtId="164" showAll="0"/>
    <pivotField showAll="0"/>
    <pivotField showAll="0"/>
    <pivotField numFmtId="164" showAll="0"/>
    <pivotField dataField="1" numFmtId="164" showAll="0"/>
  </pivotFields>
  <rowFields count="2">
    <field x="3"/>
    <field x="1"/>
  </rowFields>
  <rowItems count="7">
    <i>
      <x/>
    </i>
    <i>
      <x v="1"/>
    </i>
    <i>
      <x v="2"/>
    </i>
    <i>
      <x v="3"/>
    </i>
    <i>
      <x v="4"/>
    </i>
    <i>
      <x v="5"/>
    </i>
    <i t="grand">
      <x/>
    </i>
  </rowItems>
  <colFields count="1">
    <field x="9"/>
  </colFields>
  <colItems count="3">
    <i>
      <x/>
    </i>
    <i>
      <x v="1"/>
    </i>
    <i t="grand">
      <x/>
    </i>
  </colItems>
  <dataFields count="1">
    <dataField name="Sum of Total cost" fld="16" baseField="0" baseItem="0"/>
  </dataFields>
  <chartFormats count="6">
    <chartFormat chart="3" format="4" series="1">
      <pivotArea type="data" outline="0" fieldPosition="0">
        <references count="2">
          <reference field="4294967294" count="1" selected="0">
            <x v="0"/>
          </reference>
          <reference field="9" count="1" selected="0">
            <x v="0"/>
          </reference>
        </references>
      </pivotArea>
    </chartFormat>
    <chartFormat chart="3" format="5" series="1">
      <pivotArea type="data" outline="0" fieldPosition="0">
        <references count="2">
          <reference field="4294967294" count="1" selected="0">
            <x v="0"/>
          </reference>
          <reference field="9" count="1" selected="0">
            <x v="1"/>
          </reference>
        </references>
      </pivotArea>
    </chartFormat>
    <chartFormat chart="8" format="6" series="1">
      <pivotArea type="data" outline="0" fieldPosition="0">
        <references count="2">
          <reference field="4294967294" count="1" selected="0">
            <x v="0"/>
          </reference>
          <reference field="9" count="1" selected="0">
            <x v="0"/>
          </reference>
        </references>
      </pivotArea>
    </chartFormat>
    <chartFormat chart="8" format="7" series="1">
      <pivotArea type="data" outline="0" fieldPosition="0">
        <references count="2">
          <reference field="4294967294" count="1" selected="0">
            <x v="0"/>
          </reference>
          <reference field="9" count="1" selected="0">
            <x v="1"/>
          </reference>
        </references>
      </pivotArea>
    </chartFormat>
    <chartFormat chart="9" format="8" series="1">
      <pivotArea type="data" outline="0" fieldPosition="0">
        <references count="2">
          <reference field="4294967294" count="1" selected="0">
            <x v="0"/>
          </reference>
          <reference field="9" count="1" selected="0">
            <x v="0"/>
          </reference>
        </references>
      </pivotArea>
    </chartFormat>
    <chartFormat chart="9" format="9"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mmodation_Type1" xr10:uid="{725A7E0C-9FD8-4405-82A7-EA8CC55BEDBF}" sourceName="Accommodation Type">
  <pivotTables>
    <pivotTable tabId="16" name="PivotTable18"/>
    <pivotTable tabId="16" name="PivotTable17"/>
    <pivotTable tabId="16" name="PivotTable19"/>
  </pivotTables>
  <data>
    <tabular pivotCacheId="1806205267">
      <items count="8">
        <i x="3" s="1"/>
        <i x="7" s="1"/>
        <i x="4" s="1"/>
        <i x="0" s="1"/>
        <i x="1" s="1"/>
        <i x="5" s="1"/>
        <i x="6"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portation_Type" xr10:uid="{3BA3300A-1B63-40D2-95EF-090D6E15BCC8}" sourceName="Transportation Type">
  <pivotTables>
    <pivotTable tabId="16" name="PivotTable17"/>
    <pivotTable tabId="16" name="PivotTable18"/>
    <pivotTable tabId="16" name="PivotTable19"/>
  </pivotTables>
  <data>
    <tabular pivotCacheId="1806205267">
      <items count="7">
        <i x="2" s="1"/>
        <i x="5" s="1"/>
        <i x="3" s="1"/>
        <i x="6" s="1"/>
        <i x="0" s="1"/>
        <i x="4"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inent1" xr10:uid="{54B03131-A216-4631-8E3D-A6879907E5D9}" sourceName="Continent">
  <pivotTables>
    <pivotTable tabId="16" name="PivotTable17"/>
    <pivotTable tabId="16" name="PivotTable18"/>
    <pivotTable tabId="16" name="PivotTable19"/>
  </pivotTables>
  <data>
    <tabular pivotCacheId="1806205267">
      <items count="6">
        <i x="5" s="1"/>
        <i x="1" s="1"/>
        <i x="3" s="1"/>
        <i x="0"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mmodation Type 1" xr10:uid="{5B3AA989-29BB-4D71-9E3C-CA988FE8B7AC}" cache="Slicer_Accommodation_Type1" caption="Accommodation Type" rowHeight="245835"/>
  <slicer name="Transportation Type" xr10:uid="{E12C3607-043C-49D7-974D-F5D1C04BC1AD}" cache="Slicer_Transportation_Type" caption="Transportation Type" rowHeight="245835"/>
  <slicer name="Continent 1" xr10:uid="{A657FFA1-051A-494B-BACF-0ACC3D0AE074}" cache="Slicer_Continent1" caption="Continent" rowHeight="24583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B409AA8-2B5D-4901-A44D-802056EDE65C}" name="Travel" displayName="Travel" ref="A1:Q138" totalsRowShown="0">
  <autoFilter ref="A1:Q138" xr:uid="{1B409AA8-2B5D-4901-A44D-802056EDE65C}"/>
  <tableColumns count="17">
    <tableColumn id="1" xr3:uid="{02F7EFE2-5969-463D-B33A-211D913455B6}" name="TripID"/>
    <tableColumn id="2" xr3:uid="{E35502F8-C1B2-44DD-AC65-2BA533677060}" name="Destination City"/>
    <tableColumn id="3" xr3:uid="{72F93369-96FD-4BF8-98F3-610B94779ACA}" name="Destination Country"/>
    <tableColumn id="19" xr3:uid="{C51B31FE-A30E-4319-AB15-C5076CEFD7DE}" name="Continent" dataDxfId="6">
      <calculatedColumnFormula>_xlfn.XLOOKUP(Travel[[#This Row],[Destination Country]],'Pivot Table'!$Z$15:$Z$38,'Pivot Table'!$AA$15:$AA$38)</calculatedColumnFormula>
    </tableColumn>
    <tableColumn id="4" xr3:uid="{0CA4C027-1D57-4E24-A69F-6179DB277C3E}" name="Start date" dataDxfId="5"/>
    <tableColumn id="5" xr3:uid="{A591F4F2-0355-4184-88AD-0342EBDDB4F4}" name="End date" dataDxfId="4"/>
    <tableColumn id="6" xr3:uid="{9A82A541-0B38-41BB-9388-7930AD54901F}" name="Duration(days)"/>
    <tableColumn id="7" xr3:uid="{95727952-FE7E-41A6-93AF-C93020D976C4}" name="Travelername"/>
    <tableColumn id="8" xr3:uid="{D99AFD0D-28BA-474F-85DF-8D85B26FE947}" name="Age"/>
    <tableColumn id="9" xr3:uid="{56999490-AAED-444D-93A7-6425EA9DDC37}" name="Gender"/>
    <tableColumn id="10" xr3:uid="{FFD150F8-D64A-408B-97DB-0F230148222B}" name="Traveler nationality"/>
    <tableColumn id="11" xr3:uid="{1B179815-9DA3-4AB3-AB50-D61FB86E4137}" name="Accommodation Type"/>
    <tableColumn id="12" xr3:uid="{DADD9D47-A181-43E1-8060-5CB2DC30DF25}" name="Accommodation cost" dataDxfId="3"/>
    <tableColumn id="13" xr3:uid="{1C85CF5A-0DF7-4E6D-9527-EF8EA517A051}" name="Transportation Type"/>
    <tableColumn id="16" xr3:uid="{07841DC6-4770-4845-8EB1-2CC2CCEF7547}" name="Transportation mode" dataDxfId="2">
      <calculatedColumnFormula>_xlfn.XLOOKUP(Travel[[#This Row],[Transportation Type]],'Pivot Table'!$Z$3:$Z$9,'Pivot Table'!$AA$3:$AA$9)</calculatedColumnFormula>
    </tableColumn>
    <tableColumn id="14" xr3:uid="{972A5511-ADE5-4DD6-9CDF-C2DBAE3F19CF}" name="Transportation cost" dataDxfId="1"/>
    <tableColumn id="15" xr3:uid="{D9B51152-987B-4380-8180-32301F454E60}" name="Total cost" dataDxfId="0">
      <calculatedColumnFormula>SUM(M2,P2)</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138"/>
  <sheetViews>
    <sheetView zoomScale="92" zoomScaleNormal="87" workbookViewId="0">
      <selection activeCell="D30" sqref="D30"/>
    </sheetView>
  </sheetViews>
  <sheetFormatPr defaultRowHeight="14.6" x14ac:dyDescent="0.4"/>
  <cols>
    <col min="1" max="1" width="8.53515625" bestFit="1" customWidth="1"/>
    <col min="2" max="2" width="16.3046875" bestFit="1" customWidth="1"/>
    <col min="3" max="3" width="19.84375" bestFit="1" customWidth="1"/>
    <col min="4" max="4" width="19.84375" customWidth="1"/>
    <col min="5" max="5" width="11.3046875" bestFit="1" customWidth="1"/>
    <col min="6" max="6" width="10.4609375" style="1" bestFit="1" customWidth="1"/>
    <col min="7" max="7" width="15.921875" bestFit="1" customWidth="1"/>
    <col min="8" max="8" width="16.53515625" bestFit="1" customWidth="1"/>
    <col min="9" max="9" width="13.23046875" bestFit="1" customWidth="1"/>
    <col min="10" max="10" width="16.15234375" bestFit="1" customWidth="1"/>
    <col min="11" max="11" width="19.3828125" bestFit="1" customWidth="1"/>
    <col min="12" max="12" width="21.07421875" bestFit="1" customWidth="1"/>
    <col min="13" max="13" width="22.84375" style="2" bestFit="1" customWidth="1"/>
    <col min="14" max="14" width="19.765625" bestFit="1" customWidth="1"/>
    <col min="15" max="15" width="21.4609375" style="2" bestFit="1" customWidth="1"/>
    <col min="16" max="16" width="12.15234375" bestFit="1" customWidth="1"/>
    <col min="17" max="17" width="10.15234375" bestFit="1" customWidth="1"/>
  </cols>
  <sheetData>
    <row r="1" spans="1:17" x14ac:dyDescent="0.4">
      <c r="A1" t="s">
        <v>102</v>
      </c>
      <c r="B1" t="s">
        <v>79</v>
      </c>
      <c r="C1" t="s">
        <v>70</v>
      </c>
      <c r="D1" t="s">
        <v>88</v>
      </c>
      <c r="E1" t="s">
        <v>0</v>
      </c>
      <c r="F1" s="1" t="s">
        <v>1</v>
      </c>
      <c r="G1" t="s">
        <v>103</v>
      </c>
      <c r="H1" t="s">
        <v>104</v>
      </c>
      <c r="I1" t="s">
        <v>126</v>
      </c>
      <c r="J1" t="s">
        <v>125</v>
      </c>
      <c r="K1" t="s">
        <v>2</v>
      </c>
      <c r="L1" t="s">
        <v>124</v>
      </c>
      <c r="M1" s="2" t="s">
        <v>123</v>
      </c>
      <c r="N1" t="s">
        <v>122</v>
      </c>
      <c r="O1" t="s">
        <v>83</v>
      </c>
      <c r="P1" s="2" t="s">
        <v>127</v>
      </c>
      <c r="Q1" s="5" t="s">
        <v>69</v>
      </c>
    </row>
    <row r="2" spans="1:17" x14ac:dyDescent="0.4">
      <c r="A2">
        <v>1</v>
      </c>
      <c r="B2" t="s">
        <v>30</v>
      </c>
      <c r="C2" t="s">
        <v>57</v>
      </c>
      <c r="D2" t="str">
        <f>_xlfn.XLOOKUP(Travel[[#This Row],[Destination Country]],'Pivot Table'!$Z$15:$Z$38,'Pivot Table'!$AA$15:$AA$38)</f>
        <v>Europe</v>
      </c>
      <c r="E2" s="1">
        <v>44931</v>
      </c>
      <c r="F2" s="1">
        <v>45143</v>
      </c>
      <c r="G2">
        <v>7</v>
      </c>
      <c r="H2" t="s">
        <v>138</v>
      </c>
      <c r="I2">
        <v>35</v>
      </c>
      <c r="J2" t="s">
        <v>3</v>
      </c>
      <c r="K2" t="s">
        <v>4</v>
      </c>
      <c r="L2" t="s">
        <v>5</v>
      </c>
      <c r="M2" s="2">
        <v>1200</v>
      </c>
      <c r="N2" t="s">
        <v>6</v>
      </c>
      <c r="O2" t="str">
        <f>_xlfn.XLOOKUP(Travel[[#This Row],[Transportation Type]],'Pivot Table'!$Z$3:$Z$9,'Pivot Table'!$AA$3:$AA$9)</f>
        <v>Airway</v>
      </c>
      <c r="P2" s="2">
        <v>600</v>
      </c>
      <c r="Q2" s="2">
        <f t="shared" ref="Q2:Q33" si="0">SUM(M2,P2)</f>
        <v>1800</v>
      </c>
    </row>
    <row r="3" spans="1:17" x14ac:dyDescent="0.4">
      <c r="A3">
        <v>2</v>
      </c>
      <c r="B3" t="s">
        <v>62</v>
      </c>
      <c r="C3" t="s">
        <v>90</v>
      </c>
      <c r="D3" t="str">
        <f>_xlfn.XLOOKUP(Travel[[#This Row],[Destination Country]],'Pivot Table'!$Z$15:$Z$38,'Pivot Table'!$AA$15:$AA$38)</f>
        <v>Asia</v>
      </c>
      <c r="E3" s="1">
        <v>45092</v>
      </c>
      <c r="F3" s="1">
        <v>45097</v>
      </c>
      <c r="G3">
        <v>5</v>
      </c>
      <c r="H3" t="s">
        <v>139</v>
      </c>
      <c r="I3">
        <v>28</v>
      </c>
      <c r="J3" t="s">
        <v>7</v>
      </c>
      <c r="K3" t="s">
        <v>8</v>
      </c>
      <c r="L3" t="s">
        <v>9</v>
      </c>
      <c r="M3" s="2">
        <v>800</v>
      </c>
      <c r="N3" t="s">
        <v>6</v>
      </c>
      <c r="O3" t="str">
        <f>_xlfn.XLOOKUP(Travel[[#This Row],[Transportation Type]],'Pivot Table'!$Z$3:$Z$9,'Pivot Table'!$AA$3:$AA$9)</f>
        <v>Airway</v>
      </c>
      <c r="P3" s="2">
        <v>500</v>
      </c>
      <c r="Q3" s="2">
        <f t="shared" si="0"/>
        <v>1300</v>
      </c>
    </row>
    <row r="4" spans="1:17" x14ac:dyDescent="0.4">
      <c r="A4">
        <v>3</v>
      </c>
      <c r="B4" t="s">
        <v>29</v>
      </c>
      <c r="C4" t="s">
        <v>92</v>
      </c>
      <c r="D4" t="str">
        <f>_xlfn.XLOOKUP(Travel[[#This Row],[Destination Country]],'Pivot Table'!$Z$15:$Z$38,'Pivot Table'!$AA$15:$AA$38)</f>
        <v>Asia</v>
      </c>
      <c r="E4" s="1">
        <v>44933</v>
      </c>
      <c r="F4" s="1">
        <v>45145</v>
      </c>
      <c r="G4">
        <v>7</v>
      </c>
      <c r="H4" t="s">
        <v>140</v>
      </c>
      <c r="I4">
        <v>45</v>
      </c>
      <c r="J4" t="s">
        <v>3</v>
      </c>
      <c r="K4" t="s">
        <v>10</v>
      </c>
      <c r="L4" t="s">
        <v>11</v>
      </c>
      <c r="M4" s="2">
        <v>1000</v>
      </c>
      <c r="N4" t="s">
        <v>6</v>
      </c>
      <c r="O4" t="str">
        <f>_xlfn.XLOOKUP(Travel[[#This Row],[Transportation Type]],'Pivot Table'!$Z$3:$Z$9,'Pivot Table'!$AA$3:$AA$9)</f>
        <v>Airway</v>
      </c>
      <c r="P4" s="2">
        <v>700</v>
      </c>
      <c r="Q4" s="2">
        <f t="shared" si="0"/>
        <v>1700</v>
      </c>
    </row>
    <row r="5" spans="1:17" x14ac:dyDescent="0.4">
      <c r="A5">
        <v>4</v>
      </c>
      <c r="B5" t="s">
        <v>105</v>
      </c>
      <c r="C5" t="s">
        <v>56</v>
      </c>
      <c r="D5" t="str">
        <f>_xlfn.XLOOKUP(Travel[[#This Row],[Destination Country]],'Pivot Table'!$Z$15:$Z$38,'Pivot Table'!$AA$15:$AA$38)</f>
        <v>North America</v>
      </c>
      <c r="E5" s="1">
        <v>45153</v>
      </c>
      <c r="F5" s="1">
        <v>45167</v>
      </c>
      <c r="G5">
        <v>14</v>
      </c>
      <c r="H5" t="s">
        <v>141</v>
      </c>
      <c r="I5">
        <v>29</v>
      </c>
      <c r="J5" t="s">
        <v>7</v>
      </c>
      <c r="K5" t="s">
        <v>12</v>
      </c>
      <c r="L5" t="s">
        <v>5</v>
      </c>
      <c r="M5" s="2">
        <v>2000</v>
      </c>
      <c r="N5" t="s">
        <v>6</v>
      </c>
      <c r="O5" t="str">
        <f>_xlfn.XLOOKUP(Travel[[#This Row],[Transportation Type]],'Pivot Table'!$Z$3:$Z$9,'Pivot Table'!$AA$3:$AA$9)</f>
        <v>Airway</v>
      </c>
      <c r="P5" s="2">
        <v>1000</v>
      </c>
      <c r="Q5" s="2">
        <f t="shared" si="0"/>
        <v>3000</v>
      </c>
    </row>
    <row r="6" spans="1:17" x14ac:dyDescent="0.4">
      <c r="A6">
        <v>5</v>
      </c>
      <c r="B6" t="s">
        <v>31</v>
      </c>
      <c r="C6" t="s">
        <v>41</v>
      </c>
      <c r="D6" t="str">
        <f>_xlfn.XLOOKUP(Travel[[#This Row],[Destination Country]],'Pivot Table'!$Z$15:$Z$38,'Pivot Table'!$AA$15:$AA$38)</f>
        <v>Asia</v>
      </c>
      <c r="E6" s="1">
        <v>45208</v>
      </c>
      <c r="F6" s="1">
        <v>45186</v>
      </c>
      <c r="G6">
        <v>7</v>
      </c>
      <c r="H6" t="s">
        <v>142</v>
      </c>
      <c r="I6">
        <v>26</v>
      </c>
      <c r="J6" t="s">
        <v>7</v>
      </c>
      <c r="K6" t="s">
        <v>13</v>
      </c>
      <c r="L6" t="s">
        <v>14</v>
      </c>
      <c r="M6" s="2">
        <v>700</v>
      </c>
      <c r="N6" t="s">
        <v>15</v>
      </c>
      <c r="O6" t="str">
        <f>_xlfn.XLOOKUP(Travel[[#This Row],[Transportation Type]],'Pivot Table'!$Z$3:$Z$9,'Pivot Table'!$AA$3:$AA$9)</f>
        <v>Railway</v>
      </c>
      <c r="P6" s="2">
        <v>200</v>
      </c>
      <c r="Q6" s="2">
        <f t="shared" si="0"/>
        <v>900</v>
      </c>
    </row>
    <row r="7" spans="1:17" x14ac:dyDescent="0.4">
      <c r="A7">
        <v>6</v>
      </c>
      <c r="B7" t="s">
        <v>28</v>
      </c>
      <c r="C7" t="s">
        <v>94</v>
      </c>
      <c r="D7" t="str">
        <f>_xlfn.XLOOKUP(Travel[[#This Row],[Destination Country]],'Pivot Table'!$Z$15:$Z$38,'Pivot Table'!$AA$15:$AA$38)</f>
        <v>Europe</v>
      </c>
      <c r="E7" s="1">
        <v>45056</v>
      </c>
      <c r="F7" s="1">
        <v>45209</v>
      </c>
      <c r="G7">
        <v>5</v>
      </c>
      <c r="H7" t="s">
        <v>143</v>
      </c>
      <c r="I7">
        <v>42</v>
      </c>
      <c r="J7" t="s">
        <v>3</v>
      </c>
      <c r="K7" t="s">
        <v>4</v>
      </c>
      <c r="L7" t="s">
        <v>5</v>
      </c>
      <c r="M7" s="2">
        <v>1500</v>
      </c>
      <c r="N7" t="s">
        <v>6</v>
      </c>
      <c r="O7" t="str">
        <f>_xlfn.XLOOKUP(Travel[[#This Row],[Transportation Type]],'Pivot Table'!$Z$3:$Z$9,'Pivot Table'!$AA$3:$AA$9)</f>
        <v>Airway</v>
      </c>
      <c r="P7" s="2">
        <v>800</v>
      </c>
      <c r="Q7" s="2">
        <f t="shared" si="0"/>
        <v>2300</v>
      </c>
    </row>
    <row r="8" spans="1:17" x14ac:dyDescent="0.4">
      <c r="A8">
        <v>7</v>
      </c>
      <c r="B8" t="s">
        <v>34</v>
      </c>
      <c r="C8" t="s">
        <v>95</v>
      </c>
      <c r="D8" t="str">
        <f>_xlfn.XLOOKUP(Travel[[#This Row],[Destination Country]],'Pivot Table'!$Z$15:$Z$38,'Pivot Table'!$AA$15:$AA$38)</f>
        <v>Australia</v>
      </c>
      <c r="E8" s="1">
        <v>45250</v>
      </c>
      <c r="F8" s="1">
        <v>45260</v>
      </c>
      <c r="G8">
        <v>10</v>
      </c>
      <c r="H8" t="s">
        <v>144</v>
      </c>
      <c r="I8">
        <v>33</v>
      </c>
      <c r="J8" t="s">
        <v>7</v>
      </c>
      <c r="K8" t="s">
        <v>16</v>
      </c>
      <c r="L8" t="s">
        <v>17</v>
      </c>
      <c r="M8" s="2">
        <v>500</v>
      </c>
      <c r="N8" t="s">
        <v>6</v>
      </c>
      <c r="O8" t="str">
        <f>_xlfn.XLOOKUP(Travel[[#This Row],[Transportation Type]],'Pivot Table'!$Z$3:$Z$9,'Pivot Table'!$AA$3:$AA$9)</f>
        <v>Airway</v>
      </c>
      <c r="P8" s="2">
        <v>1200</v>
      </c>
      <c r="Q8" s="2">
        <f t="shared" si="0"/>
        <v>1700</v>
      </c>
    </row>
    <row r="9" spans="1:17" x14ac:dyDescent="0.4">
      <c r="A9">
        <v>8</v>
      </c>
      <c r="B9" t="s">
        <v>107</v>
      </c>
      <c r="C9" t="s">
        <v>42</v>
      </c>
      <c r="D9" t="str">
        <f>_xlfn.XLOOKUP(Travel[[#This Row],[Destination Country]],'Pivot Table'!$Z$15:$Z$38,'Pivot Table'!$AA$15:$AA$38)</f>
        <v>South America</v>
      </c>
      <c r="E9" s="1">
        <v>45413</v>
      </c>
      <c r="F9" s="1">
        <v>45627</v>
      </c>
      <c r="G9">
        <v>7</v>
      </c>
      <c r="H9" t="s">
        <v>145</v>
      </c>
      <c r="I9">
        <v>25</v>
      </c>
      <c r="J9" t="s">
        <v>3</v>
      </c>
      <c r="K9" t="s">
        <v>18</v>
      </c>
      <c r="L9" t="s">
        <v>14</v>
      </c>
      <c r="M9" s="2">
        <v>900</v>
      </c>
      <c r="N9" t="s">
        <v>6</v>
      </c>
      <c r="O9" t="str">
        <f>_xlfn.XLOOKUP(Travel[[#This Row],[Transportation Type]],'Pivot Table'!$Z$3:$Z$9,'Pivot Table'!$AA$3:$AA$9)</f>
        <v>Airway</v>
      </c>
      <c r="P9" s="2">
        <v>600</v>
      </c>
      <c r="Q9" s="2">
        <f t="shared" si="0"/>
        <v>1500</v>
      </c>
    </row>
    <row r="10" spans="1:17" x14ac:dyDescent="0.4">
      <c r="A10">
        <v>9</v>
      </c>
      <c r="B10" t="s">
        <v>60</v>
      </c>
      <c r="C10" t="s">
        <v>97</v>
      </c>
      <c r="D10" t="str">
        <f>_xlfn.XLOOKUP(Travel[[#This Row],[Destination Country]],'Pivot Table'!$Z$15:$Z$38,'Pivot Table'!$AA$15:$AA$38)</f>
        <v>Europe</v>
      </c>
      <c r="E10" s="1">
        <v>45336</v>
      </c>
      <c r="F10" s="1">
        <v>45343</v>
      </c>
      <c r="G10">
        <v>7</v>
      </c>
      <c r="H10" t="s">
        <v>146</v>
      </c>
      <c r="I10">
        <v>31</v>
      </c>
      <c r="J10" t="s">
        <v>7</v>
      </c>
      <c r="K10" t="s">
        <v>19</v>
      </c>
      <c r="L10" t="s">
        <v>5</v>
      </c>
      <c r="M10" s="2">
        <v>1200</v>
      </c>
      <c r="N10" t="s">
        <v>15</v>
      </c>
      <c r="O10" t="str">
        <f>_xlfn.XLOOKUP(Travel[[#This Row],[Transportation Type]],'Pivot Table'!$Z$3:$Z$9,'Pivot Table'!$AA$3:$AA$9)</f>
        <v>Railway</v>
      </c>
      <c r="P10" s="2">
        <v>200</v>
      </c>
      <c r="Q10" s="2">
        <f t="shared" si="0"/>
        <v>1400</v>
      </c>
    </row>
    <row r="11" spans="1:17" x14ac:dyDescent="0.4">
      <c r="A11">
        <v>10</v>
      </c>
      <c r="B11" t="s">
        <v>53</v>
      </c>
      <c r="C11" t="s">
        <v>248</v>
      </c>
      <c r="D11" t="str">
        <f>_xlfn.XLOOKUP(Travel[[#This Row],[Destination Country]],'Pivot Table'!$Z$15:$Z$38,'Pivot Table'!$AA$15:$AA$38)</f>
        <v>Asia</v>
      </c>
      <c r="E11" s="1">
        <v>45568</v>
      </c>
      <c r="F11" s="1">
        <v>45368</v>
      </c>
      <c r="G11">
        <v>7</v>
      </c>
      <c r="H11" t="s">
        <v>147</v>
      </c>
      <c r="I11">
        <v>39</v>
      </c>
      <c r="J11" t="s">
        <v>3</v>
      </c>
      <c r="K11" t="s">
        <v>20</v>
      </c>
      <c r="L11" t="s">
        <v>9</v>
      </c>
      <c r="M11" s="2">
        <v>2500</v>
      </c>
      <c r="N11" t="s">
        <v>6</v>
      </c>
      <c r="O11" t="str">
        <f>_xlfn.XLOOKUP(Travel[[#This Row],[Transportation Type]],'Pivot Table'!$Z$3:$Z$9,'Pivot Table'!$AA$3:$AA$9)</f>
        <v>Airway</v>
      </c>
      <c r="P11" s="2">
        <v>800</v>
      </c>
      <c r="Q11" s="2">
        <f t="shared" si="0"/>
        <v>3300</v>
      </c>
    </row>
    <row r="12" spans="1:17" x14ac:dyDescent="0.4">
      <c r="A12">
        <v>11</v>
      </c>
      <c r="B12" t="s">
        <v>71</v>
      </c>
      <c r="C12" t="s">
        <v>98</v>
      </c>
      <c r="D12" t="str">
        <f>_xlfn.XLOOKUP(Travel[[#This Row],[Destination Country]],'Pivot Table'!$Z$15:$Z$38,'Pivot Table'!$AA$15:$AA$38)</f>
        <v>North America</v>
      </c>
      <c r="E12" s="1">
        <v>45295</v>
      </c>
      <c r="F12" s="1">
        <v>45508</v>
      </c>
      <c r="G12">
        <v>7</v>
      </c>
      <c r="H12" t="s">
        <v>148</v>
      </c>
      <c r="I12">
        <v>27</v>
      </c>
      <c r="J12" t="s">
        <v>7</v>
      </c>
      <c r="K12" t="s">
        <v>21</v>
      </c>
      <c r="L12" t="s">
        <v>5</v>
      </c>
      <c r="M12" s="2">
        <v>1000</v>
      </c>
      <c r="N12" t="s">
        <v>6</v>
      </c>
      <c r="O12" t="str">
        <f>_xlfn.XLOOKUP(Travel[[#This Row],[Transportation Type]],'Pivot Table'!$Z$3:$Z$9,'Pivot Table'!$AA$3:$AA$9)</f>
        <v>Airway</v>
      </c>
      <c r="P12" s="2">
        <v>500</v>
      </c>
      <c r="Q12" s="2">
        <f t="shared" si="0"/>
        <v>1500</v>
      </c>
    </row>
    <row r="13" spans="1:17" x14ac:dyDescent="0.4">
      <c r="A13">
        <v>12</v>
      </c>
      <c r="B13" t="s">
        <v>40</v>
      </c>
      <c r="C13" t="s">
        <v>46</v>
      </c>
      <c r="D13" t="str">
        <f>_xlfn.XLOOKUP(Travel[[#This Row],[Destination Country]],'Pivot Table'!$Z$15:$Z$38,'Pivot Table'!$AA$15:$AA$38)</f>
        <v>Europe</v>
      </c>
      <c r="E13" s="1">
        <v>45427</v>
      </c>
      <c r="F13" s="1">
        <v>45434</v>
      </c>
      <c r="G13">
        <v>7</v>
      </c>
      <c r="H13" t="s">
        <v>149</v>
      </c>
      <c r="I13">
        <v>36</v>
      </c>
      <c r="J13" t="s">
        <v>3</v>
      </c>
      <c r="K13" t="s">
        <v>22</v>
      </c>
      <c r="L13" t="s">
        <v>14</v>
      </c>
      <c r="M13" s="2">
        <v>800</v>
      </c>
      <c r="N13" t="s">
        <v>15</v>
      </c>
      <c r="O13" t="str">
        <f>_xlfn.XLOOKUP(Travel[[#This Row],[Transportation Type]],'Pivot Table'!$Z$3:$Z$9,'Pivot Table'!$AA$3:$AA$9)</f>
        <v>Railway</v>
      </c>
      <c r="P13" s="2">
        <v>100</v>
      </c>
      <c r="Q13" s="2">
        <f t="shared" si="0"/>
        <v>900</v>
      </c>
    </row>
    <row r="14" spans="1:17" x14ac:dyDescent="0.4">
      <c r="A14">
        <v>13</v>
      </c>
      <c r="B14" t="s">
        <v>72</v>
      </c>
      <c r="C14" t="s">
        <v>39</v>
      </c>
      <c r="D14" t="str">
        <f>_xlfn.XLOOKUP(Travel[[#This Row],[Destination Country]],'Pivot Table'!$Z$15:$Z$38,'Pivot Table'!$AA$15:$AA$38)</f>
        <v>North America</v>
      </c>
      <c r="E14" s="1">
        <v>45571</v>
      </c>
      <c r="F14" s="1">
        <v>45461</v>
      </c>
      <c r="G14">
        <v>8</v>
      </c>
      <c r="H14" t="s">
        <v>150</v>
      </c>
      <c r="I14">
        <v>29</v>
      </c>
      <c r="J14" t="s">
        <v>7</v>
      </c>
      <c r="K14" t="s">
        <v>23</v>
      </c>
      <c r="L14" t="s">
        <v>9</v>
      </c>
      <c r="M14" s="2">
        <v>3000</v>
      </c>
      <c r="N14" t="s">
        <v>6</v>
      </c>
      <c r="O14" t="str">
        <f>_xlfn.XLOOKUP(Travel[[#This Row],[Transportation Type]],'Pivot Table'!$Z$3:$Z$9,'Pivot Table'!$AA$3:$AA$9)</f>
        <v>Airway</v>
      </c>
      <c r="P14" s="2">
        <v>1200</v>
      </c>
      <c r="Q14" s="2">
        <f t="shared" si="0"/>
        <v>4200</v>
      </c>
    </row>
    <row r="15" spans="1:17" x14ac:dyDescent="0.4">
      <c r="A15">
        <v>14</v>
      </c>
      <c r="B15" t="s">
        <v>73</v>
      </c>
      <c r="C15" t="s">
        <v>61</v>
      </c>
      <c r="D15" t="str">
        <f>_xlfn.XLOOKUP(Travel[[#This Row],[Destination Country]],'Pivot Table'!$Z$15:$Z$38,'Pivot Table'!$AA$15:$AA$38)</f>
        <v>Europe</v>
      </c>
      <c r="E15" s="1">
        <v>45298</v>
      </c>
      <c r="F15" s="1">
        <v>45572</v>
      </c>
      <c r="G15">
        <v>9</v>
      </c>
      <c r="H15" t="s">
        <v>151</v>
      </c>
      <c r="I15">
        <v>48</v>
      </c>
      <c r="J15" t="s">
        <v>3</v>
      </c>
      <c r="K15" t="s">
        <v>24</v>
      </c>
      <c r="L15" t="s">
        <v>5</v>
      </c>
      <c r="M15" s="2">
        <v>1400</v>
      </c>
      <c r="N15" t="s">
        <v>6</v>
      </c>
      <c r="O15" t="str">
        <f>_xlfn.XLOOKUP(Travel[[#This Row],[Transportation Type]],'Pivot Table'!$Z$3:$Z$9,'Pivot Table'!$AA$3:$AA$9)</f>
        <v>Airway</v>
      </c>
      <c r="P15" s="2">
        <v>700</v>
      </c>
      <c r="Q15" s="2">
        <f t="shared" si="0"/>
        <v>2100</v>
      </c>
    </row>
    <row r="16" spans="1:17" x14ac:dyDescent="0.4">
      <c r="A16">
        <v>15</v>
      </c>
      <c r="B16" t="s">
        <v>74</v>
      </c>
      <c r="C16" t="s">
        <v>99</v>
      </c>
      <c r="D16" t="str">
        <f>_xlfn.XLOOKUP(Travel[[#This Row],[Destination Country]],'Pivot Table'!$Z$15:$Z$38,'Pivot Table'!$AA$15:$AA$38)</f>
        <v>Africa</v>
      </c>
      <c r="E16" s="1">
        <v>45524</v>
      </c>
      <c r="F16" s="1">
        <v>45531</v>
      </c>
      <c r="G16">
        <v>7</v>
      </c>
      <c r="H16" t="s">
        <v>152</v>
      </c>
      <c r="I16">
        <v>26</v>
      </c>
      <c r="J16" t="s">
        <v>7</v>
      </c>
      <c r="K16" t="s">
        <v>25</v>
      </c>
      <c r="L16" t="s">
        <v>26</v>
      </c>
      <c r="M16" s="2">
        <v>600</v>
      </c>
      <c r="N16" t="s">
        <v>6</v>
      </c>
      <c r="O16" t="str">
        <f>_xlfn.XLOOKUP(Travel[[#This Row],[Transportation Type]],'Pivot Table'!$Z$3:$Z$9,'Pivot Table'!$AA$3:$AA$9)</f>
        <v>Airway</v>
      </c>
      <c r="P16" s="2">
        <v>400</v>
      </c>
      <c r="Q16" s="2">
        <f t="shared" si="0"/>
        <v>1000</v>
      </c>
    </row>
    <row r="17" spans="1:17" x14ac:dyDescent="0.4">
      <c r="A17">
        <v>16</v>
      </c>
      <c r="B17" t="s">
        <v>75</v>
      </c>
      <c r="C17" t="s">
        <v>101</v>
      </c>
      <c r="D17" t="str">
        <f>_xlfn.XLOOKUP(Travel[[#This Row],[Destination Country]],'Pivot Table'!$Z$15:$Z$38,'Pivot Table'!$AA$15:$AA$38)</f>
        <v>Europe</v>
      </c>
      <c r="E17" s="1">
        <v>45421</v>
      </c>
      <c r="F17" s="1">
        <v>45635</v>
      </c>
      <c r="G17">
        <v>7</v>
      </c>
      <c r="H17" t="s">
        <v>153</v>
      </c>
      <c r="I17">
        <v>32</v>
      </c>
      <c r="J17" t="s">
        <v>3</v>
      </c>
      <c r="K17" t="s">
        <v>27</v>
      </c>
      <c r="L17" t="s">
        <v>5</v>
      </c>
      <c r="M17" s="2">
        <v>900</v>
      </c>
      <c r="N17" t="s">
        <v>15</v>
      </c>
      <c r="O17" t="str">
        <f>_xlfn.XLOOKUP(Travel[[#This Row],[Transportation Type]],'Pivot Table'!$Z$3:$Z$9,'Pivot Table'!$AA$3:$AA$9)</f>
        <v>Railway</v>
      </c>
      <c r="P17" s="2">
        <v>150</v>
      </c>
      <c r="Q17" s="2">
        <f t="shared" si="0"/>
        <v>1050</v>
      </c>
    </row>
    <row r="18" spans="1:17" x14ac:dyDescent="0.4">
      <c r="A18">
        <v>17</v>
      </c>
      <c r="B18" t="s">
        <v>28</v>
      </c>
      <c r="C18" t="s">
        <v>94</v>
      </c>
      <c r="D18" t="str">
        <f>_xlfn.XLOOKUP(Travel[[#This Row],[Destination Country]],'Pivot Table'!$Z$15:$Z$38,'Pivot Table'!$AA$15:$AA$38)</f>
        <v>Europe</v>
      </c>
      <c r="E18" s="1">
        <v>44935</v>
      </c>
      <c r="F18" s="1">
        <v>45208</v>
      </c>
      <c r="G18">
        <v>9</v>
      </c>
      <c r="H18" t="s">
        <v>141</v>
      </c>
      <c r="I18">
        <v>30</v>
      </c>
      <c r="J18" t="s">
        <v>7</v>
      </c>
      <c r="K18" t="s">
        <v>4</v>
      </c>
      <c r="L18" t="s">
        <v>5</v>
      </c>
      <c r="M18" s="2">
        <v>900</v>
      </c>
      <c r="N18" t="s">
        <v>6</v>
      </c>
      <c r="O18" t="str">
        <f>_xlfn.XLOOKUP(Travel[[#This Row],[Transportation Type]],'Pivot Table'!$Z$3:$Z$9,'Pivot Table'!$AA$3:$AA$9)</f>
        <v>Airway</v>
      </c>
      <c r="P18" s="2">
        <v>400</v>
      </c>
      <c r="Q18" s="2">
        <f t="shared" si="0"/>
        <v>1300</v>
      </c>
    </row>
    <row r="19" spans="1:17" x14ac:dyDescent="0.4">
      <c r="A19">
        <v>18</v>
      </c>
      <c r="B19" t="s">
        <v>29</v>
      </c>
      <c r="C19" t="s">
        <v>92</v>
      </c>
      <c r="D19" t="str">
        <f>_xlfn.XLOOKUP(Travel[[#This Row],[Destination Country]],'Pivot Table'!$Z$15:$Z$38,'Pivot Table'!$AA$15:$AA$38)</f>
        <v>Asia</v>
      </c>
      <c r="E19" s="1">
        <v>45153</v>
      </c>
      <c r="F19" s="1">
        <v>45163</v>
      </c>
      <c r="G19">
        <v>10</v>
      </c>
      <c r="H19" t="s">
        <v>154</v>
      </c>
      <c r="I19">
        <v>28</v>
      </c>
      <c r="J19" t="s">
        <v>3</v>
      </c>
      <c r="K19" t="s">
        <v>23</v>
      </c>
      <c r="L19" t="s">
        <v>9</v>
      </c>
      <c r="M19" s="2">
        <v>1500</v>
      </c>
      <c r="N19" t="s">
        <v>6</v>
      </c>
      <c r="O19" t="str">
        <f>_xlfn.XLOOKUP(Travel[[#This Row],[Transportation Type]],'Pivot Table'!$Z$3:$Z$9,'Pivot Table'!$AA$3:$AA$9)</f>
        <v>Airway</v>
      </c>
      <c r="P19" s="2">
        <v>700</v>
      </c>
      <c r="Q19" s="2">
        <f t="shared" si="0"/>
        <v>2200</v>
      </c>
    </row>
    <row r="20" spans="1:17" x14ac:dyDescent="0.4">
      <c r="A20">
        <v>19</v>
      </c>
      <c r="B20" t="s">
        <v>30</v>
      </c>
      <c r="C20" t="s">
        <v>57</v>
      </c>
      <c r="D20" t="str">
        <f>_xlfn.XLOOKUP(Travel[[#This Row],[Destination Country]],'Pivot Table'!$Z$15:$Z$38,'Pivot Table'!$AA$15:$AA$38)</f>
        <v>Europe</v>
      </c>
      <c r="E20" s="1">
        <v>45129</v>
      </c>
      <c r="F20" s="1">
        <v>45135</v>
      </c>
      <c r="G20">
        <v>6</v>
      </c>
      <c r="H20" t="s">
        <v>155</v>
      </c>
      <c r="I20">
        <v>35</v>
      </c>
      <c r="J20" t="s">
        <v>7</v>
      </c>
      <c r="K20" t="s">
        <v>12</v>
      </c>
      <c r="L20" t="s">
        <v>5</v>
      </c>
      <c r="M20" s="2">
        <v>1200</v>
      </c>
      <c r="N20" t="s">
        <v>15</v>
      </c>
      <c r="O20" t="str">
        <f>_xlfn.XLOOKUP(Travel[[#This Row],[Transportation Type]],'Pivot Table'!$Z$3:$Z$9,'Pivot Table'!$AA$3:$AA$9)</f>
        <v>Railway</v>
      </c>
      <c r="P20" s="2">
        <v>150</v>
      </c>
      <c r="Q20" s="2">
        <f t="shared" si="0"/>
        <v>1350</v>
      </c>
    </row>
    <row r="21" spans="1:17" x14ac:dyDescent="0.4">
      <c r="A21">
        <v>20</v>
      </c>
      <c r="B21" t="s">
        <v>31</v>
      </c>
      <c r="C21" t="s">
        <v>41</v>
      </c>
      <c r="D21" t="str">
        <f>_xlfn.XLOOKUP(Travel[[#This Row],[Destination Country]],'Pivot Table'!$Z$15:$Z$38,'Pivot Table'!$AA$15:$AA$38)</f>
        <v>Asia</v>
      </c>
      <c r="E21" s="1">
        <v>45056</v>
      </c>
      <c r="F21" s="1">
        <v>45214</v>
      </c>
      <c r="G21">
        <v>10</v>
      </c>
      <c r="H21" t="s">
        <v>156</v>
      </c>
      <c r="I21">
        <v>45</v>
      </c>
      <c r="J21" t="s">
        <v>3</v>
      </c>
      <c r="K21" t="s">
        <v>32</v>
      </c>
      <c r="L21" t="s">
        <v>5</v>
      </c>
      <c r="M21" s="2">
        <v>1200</v>
      </c>
      <c r="N21" t="s">
        <v>6</v>
      </c>
      <c r="O21" t="str">
        <f>_xlfn.XLOOKUP(Travel[[#This Row],[Transportation Type]],'Pivot Table'!$Z$3:$Z$9,'Pivot Table'!$AA$3:$AA$9)</f>
        <v>Airway</v>
      </c>
      <c r="P21" s="2">
        <v>800</v>
      </c>
      <c r="Q21" s="2">
        <f t="shared" si="0"/>
        <v>2000</v>
      </c>
    </row>
    <row r="22" spans="1:17" x14ac:dyDescent="0.4">
      <c r="A22">
        <v>21</v>
      </c>
      <c r="B22" t="s">
        <v>105</v>
      </c>
      <c r="C22" t="s">
        <v>56</v>
      </c>
      <c r="D22" t="str">
        <f>_xlfn.XLOOKUP(Travel[[#This Row],[Destination Country]],'Pivot Table'!$Z$15:$Z$38,'Pivot Table'!$AA$15:$AA$38)</f>
        <v>North America</v>
      </c>
      <c r="E22" s="1">
        <v>45250</v>
      </c>
      <c r="F22" s="1">
        <v>45255</v>
      </c>
      <c r="G22">
        <v>5</v>
      </c>
      <c r="H22" t="s">
        <v>157</v>
      </c>
      <c r="I22">
        <v>27</v>
      </c>
      <c r="J22" t="s">
        <v>7</v>
      </c>
      <c r="K22" t="s">
        <v>4</v>
      </c>
      <c r="L22" t="s">
        <v>14</v>
      </c>
      <c r="M22" s="2">
        <v>600</v>
      </c>
      <c r="N22" t="s">
        <v>33</v>
      </c>
      <c r="O22" t="str">
        <f>_xlfn.XLOOKUP(Travel[[#This Row],[Transportation Type]],'Pivot Table'!$Z$3:$Z$9,'Pivot Table'!$AA$3:$AA$9)</f>
        <v>Roadway</v>
      </c>
      <c r="P22" s="2">
        <v>100</v>
      </c>
      <c r="Q22" s="2">
        <f t="shared" si="0"/>
        <v>700</v>
      </c>
    </row>
    <row r="23" spans="1:17" x14ac:dyDescent="0.4">
      <c r="A23">
        <v>22</v>
      </c>
      <c r="B23" t="s">
        <v>34</v>
      </c>
      <c r="C23" t="s">
        <v>95</v>
      </c>
      <c r="D23" t="str">
        <f>_xlfn.XLOOKUP(Travel[[#This Row],[Destination Country]],'Pivot Table'!$Z$15:$Z$38,'Pivot Table'!$AA$15:$AA$38)</f>
        <v>Australia</v>
      </c>
      <c r="E23" s="1">
        <v>45058</v>
      </c>
      <c r="F23" s="1">
        <v>45272</v>
      </c>
      <c r="G23">
        <v>7</v>
      </c>
      <c r="H23" t="s">
        <v>158</v>
      </c>
      <c r="I23">
        <v>32</v>
      </c>
      <c r="J23" t="s">
        <v>3</v>
      </c>
      <c r="K23" t="s">
        <v>16</v>
      </c>
      <c r="L23" t="s">
        <v>5</v>
      </c>
      <c r="M23" s="2">
        <v>1000</v>
      </c>
      <c r="N23" t="s">
        <v>6</v>
      </c>
      <c r="O23" t="str">
        <f>_xlfn.XLOOKUP(Travel[[#This Row],[Transportation Type]],'Pivot Table'!$Z$3:$Z$9,'Pivot Table'!$AA$3:$AA$9)</f>
        <v>Airway</v>
      </c>
      <c r="P23" s="2">
        <v>600</v>
      </c>
      <c r="Q23" s="2">
        <f t="shared" si="0"/>
        <v>1600</v>
      </c>
    </row>
    <row r="24" spans="1:17" x14ac:dyDescent="0.4">
      <c r="A24">
        <v>23</v>
      </c>
      <c r="B24" t="s">
        <v>35</v>
      </c>
      <c r="C24" t="s">
        <v>45</v>
      </c>
      <c r="D24" t="str">
        <f>_xlfn.XLOOKUP(Travel[[#This Row],[Destination Country]],'Pivot Table'!$Z$15:$Z$38,'Pivot Table'!$AA$15:$AA$38)</f>
        <v>Europe</v>
      </c>
      <c r="E24" s="1">
        <v>44937</v>
      </c>
      <c r="F24" s="1">
        <v>45149</v>
      </c>
      <c r="G24">
        <v>7</v>
      </c>
      <c r="H24" t="s">
        <v>159</v>
      </c>
      <c r="I24">
        <v>29</v>
      </c>
      <c r="J24" t="s">
        <v>7</v>
      </c>
      <c r="K24" t="s">
        <v>36</v>
      </c>
      <c r="L24" t="s">
        <v>14</v>
      </c>
      <c r="M24" s="2">
        <v>700</v>
      </c>
      <c r="N24" t="s">
        <v>15</v>
      </c>
      <c r="O24" t="str">
        <f>_xlfn.XLOOKUP(Travel[[#This Row],[Transportation Type]],'Pivot Table'!$Z$3:$Z$9,'Pivot Table'!$AA$3:$AA$9)</f>
        <v>Railway</v>
      </c>
      <c r="P24" s="2">
        <v>80</v>
      </c>
      <c r="Q24" s="2">
        <f t="shared" si="0"/>
        <v>780</v>
      </c>
    </row>
    <row r="25" spans="1:17" x14ac:dyDescent="0.4">
      <c r="A25">
        <v>24</v>
      </c>
      <c r="B25" t="s">
        <v>37</v>
      </c>
      <c r="C25" t="s">
        <v>90</v>
      </c>
      <c r="D25" t="str">
        <f>_xlfn.XLOOKUP(Travel[[#This Row],[Destination Country]],'Pivot Table'!$Z$15:$Z$38,'Pivot Table'!$AA$15:$AA$38)</f>
        <v>Asia</v>
      </c>
      <c r="E25" s="1">
        <v>45184</v>
      </c>
      <c r="F25" s="1">
        <v>45192</v>
      </c>
      <c r="G25">
        <v>8</v>
      </c>
      <c r="H25" t="s">
        <v>160</v>
      </c>
      <c r="I25">
        <v>40</v>
      </c>
      <c r="J25" t="s">
        <v>3</v>
      </c>
      <c r="K25" t="s">
        <v>38</v>
      </c>
      <c r="L25" t="s">
        <v>17</v>
      </c>
      <c r="M25" s="2">
        <v>400</v>
      </c>
      <c r="N25" t="s">
        <v>6</v>
      </c>
      <c r="O25" t="str">
        <f>_xlfn.XLOOKUP(Travel[[#This Row],[Transportation Type]],'Pivot Table'!$Z$3:$Z$9,'Pivot Table'!$AA$3:$AA$9)</f>
        <v>Airway</v>
      </c>
      <c r="P25" s="2">
        <v>500</v>
      </c>
      <c r="Q25" s="2">
        <f t="shared" si="0"/>
        <v>900</v>
      </c>
    </row>
    <row r="26" spans="1:17" x14ac:dyDescent="0.4">
      <c r="A26">
        <v>25</v>
      </c>
      <c r="B26" t="s">
        <v>28</v>
      </c>
      <c r="C26" t="s">
        <v>94</v>
      </c>
      <c r="D26" t="str">
        <f>_xlfn.XLOOKUP(Travel[[#This Row],[Destination Country]],'Pivot Table'!$Z$15:$Z$38,'Pivot Table'!$AA$15:$AA$38)</f>
        <v>Europe</v>
      </c>
      <c r="E26" s="1">
        <v>45282</v>
      </c>
      <c r="F26" s="1">
        <v>45288</v>
      </c>
      <c r="G26">
        <v>6</v>
      </c>
      <c r="H26" t="s">
        <v>161</v>
      </c>
      <c r="I26">
        <v>24</v>
      </c>
      <c r="J26" t="s">
        <v>7</v>
      </c>
      <c r="K26" t="s">
        <v>13</v>
      </c>
      <c r="L26" t="s">
        <v>5</v>
      </c>
      <c r="M26" s="2">
        <v>1400</v>
      </c>
      <c r="N26" t="s">
        <v>15</v>
      </c>
      <c r="O26" t="str">
        <f>_xlfn.XLOOKUP(Travel[[#This Row],[Transportation Type]],'Pivot Table'!$Z$3:$Z$9,'Pivot Table'!$AA$3:$AA$9)</f>
        <v>Railway</v>
      </c>
      <c r="P26" s="2">
        <v>100</v>
      </c>
      <c r="Q26" s="2">
        <f t="shared" si="0"/>
        <v>1500</v>
      </c>
    </row>
    <row r="27" spans="1:17" x14ac:dyDescent="0.4">
      <c r="A27">
        <v>26</v>
      </c>
      <c r="B27" t="s">
        <v>39</v>
      </c>
      <c r="C27" t="s">
        <v>56</v>
      </c>
      <c r="D27" t="str">
        <f>_xlfn.XLOOKUP(Travel[[#This Row],[Destination Country]],'Pivot Table'!$Z$15:$Z$38,'Pivot Table'!$AA$15:$AA$38)</f>
        <v>North America</v>
      </c>
      <c r="E27" s="1">
        <v>44934</v>
      </c>
      <c r="F27" s="1">
        <v>45207</v>
      </c>
      <c r="G27">
        <v>9</v>
      </c>
      <c r="H27" t="s">
        <v>162</v>
      </c>
      <c r="I27">
        <v>34</v>
      </c>
      <c r="J27" t="s">
        <v>3</v>
      </c>
      <c r="K27" t="s">
        <v>10</v>
      </c>
      <c r="L27" t="s">
        <v>9</v>
      </c>
      <c r="M27" s="2">
        <v>2000</v>
      </c>
      <c r="N27" t="s">
        <v>6</v>
      </c>
      <c r="O27" t="str">
        <f>_xlfn.XLOOKUP(Travel[[#This Row],[Transportation Type]],'Pivot Table'!$Z$3:$Z$9,'Pivot Table'!$AA$3:$AA$9)</f>
        <v>Airway</v>
      </c>
      <c r="P27" s="2">
        <v>800</v>
      </c>
      <c r="Q27" s="2">
        <f t="shared" si="0"/>
        <v>2800</v>
      </c>
    </row>
    <row r="28" spans="1:17" x14ac:dyDescent="0.4">
      <c r="A28">
        <v>27</v>
      </c>
      <c r="B28" t="s">
        <v>40</v>
      </c>
      <c r="C28" t="s">
        <v>46</v>
      </c>
      <c r="D28" t="str">
        <f>_xlfn.XLOOKUP(Travel[[#This Row],[Destination Country]],'Pivot Table'!$Z$15:$Z$38,'Pivot Table'!$AA$15:$AA$38)</f>
        <v>Europe</v>
      </c>
      <c r="E28" s="1">
        <v>45219</v>
      </c>
      <c r="F28" s="1">
        <v>45227</v>
      </c>
      <c r="G28">
        <v>8</v>
      </c>
      <c r="H28" t="s">
        <v>163</v>
      </c>
      <c r="I28">
        <v>31</v>
      </c>
      <c r="J28" t="s">
        <v>7</v>
      </c>
      <c r="K28" t="s">
        <v>22</v>
      </c>
      <c r="L28" t="s">
        <v>5</v>
      </c>
      <c r="M28" s="2">
        <v>1100</v>
      </c>
      <c r="N28" t="s">
        <v>15</v>
      </c>
      <c r="O28" t="str">
        <f>_xlfn.XLOOKUP(Travel[[#This Row],[Transportation Type]],'Pivot Table'!$Z$3:$Z$9,'Pivot Table'!$AA$3:$AA$9)</f>
        <v>Railway</v>
      </c>
      <c r="P28" s="2">
        <v>150</v>
      </c>
      <c r="Q28" s="2">
        <f t="shared" si="0"/>
        <v>1250</v>
      </c>
    </row>
    <row r="29" spans="1:17" x14ac:dyDescent="0.4">
      <c r="A29">
        <v>28</v>
      </c>
      <c r="B29" t="s">
        <v>31</v>
      </c>
      <c r="C29" t="s">
        <v>41</v>
      </c>
      <c r="D29" t="str">
        <f>_xlfn.XLOOKUP(Travel[[#This Row],[Destination Country]],'Pivot Table'!$Z$15:$Z$38,'Pivot Table'!$AA$15:$AA$38)</f>
        <v>Asia</v>
      </c>
      <c r="E29" s="1">
        <v>44839</v>
      </c>
      <c r="F29" s="1">
        <v>44699</v>
      </c>
      <c r="G29">
        <v>8</v>
      </c>
      <c r="H29" t="s">
        <v>164</v>
      </c>
      <c r="I29">
        <v>30</v>
      </c>
      <c r="J29" t="s">
        <v>7</v>
      </c>
      <c r="K29" t="s">
        <v>4</v>
      </c>
      <c r="L29" t="s">
        <v>5</v>
      </c>
      <c r="M29" s="2">
        <v>800</v>
      </c>
      <c r="N29" t="s">
        <v>6</v>
      </c>
      <c r="O29" t="str">
        <f>_xlfn.XLOOKUP(Travel[[#This Row],[Transportation Type]],'Pivot Table'!$Z$3:$Z$9,'Pivot Table'!$AA$3:$AA$9)</f>
        <v>Airway</v>
      </c>
      <c r="P29" s="2">
        <v>500</v>
      </c>
      <c r="Q29" s="2">
        <f t="shared" si="0"/>
        <v>1300</v>
      </c>
    </row>
    <row r="30" spans="1:17" x14ac:dyDescent="0.4">
      <c r="A30">
        <v>29</v>
      </c>
      <c r="B30" t="s">
        <v>62</v>
      </c>
      <c r="C30" t="s">
        <v>90</v>
      </c>
      <c r="D30" t="str">
        <f>_xlfn.XLOOKUP(Travel[[#This Row],[Destination Country]],'Pivot Table'!$Z$15:$Z$38,'Pivot Table'!$AA$15:$AA$38)</f>
        <v>Asia</v>
      </c>
      <c r="E30" s="1">
        <v>44727</v>
      </c>
      <c r="F30" s="1">
        <v>44734</v>
      </c>
      <c r="G30">
        <v>7</v>
      </c>
      <c r="H30" t="s">
        <v>165</v>
      </c>
      <c r="I30">
        <v>45</v>
      </c>
      <c r="J30" t="s">
        <v>3</v>
      </c>
      <c r="K30" t="s">
        <v>8</v>
      </c>
      <c r="L30" t="s">
        <v>17</v>
      </c>
      <c r="M30" s="2">
        <v>200</v>
      </c>
      <c r="N30" t="s">
        <v>15</v>
      </c>
      <c r="O30" t="str">
        <f>_xlfn.XLOOKUP(Travel[[#This Row],[Transportation Type]],'Pivot Table'!$Z$3:$Z$9,'Pivot Table'!$AA$3:$AA$9)</f>
        <v>Railway</v>
      </c>
      <c r="P30" s="2">
        <v>150</v>
      </c>
      <c r="Q30" s="2">
        <f t="shared" si="0"/>
        <v>350</v>
      </c>
    </row>
    <row r="31" spans="1:17" x14ac:dyDescent="0.4">
      <c r="A31">
        <v>30</v>
      </c>
      <c r="B31" t="s">
        <v>28</v>
      </c>
      <c r="C31" t="s">
        <v>94</v>
      </c>
      <c r="D31" t="str">
        <f>_xlfn.XLOOKUP(Travel[[#This Row],[Destination Country]],'Pivot Table'!$Z$15:$Z$38,'Pivot Table'!$AA$15:$AA$38)</f>
        <v>Europe</v>
      </c>
      <c r="E31" s="1">
        <v>44599</v>
      </c>
      <c r="F31" s="1">
        <v>44872</v>
      </c>
      <c r="G31">
        <v>9</v>
      </c>
      <c r="H31" t="s">
        <v>166</v>
      </c>
      <c r="I31">
        <v>25</v>
      </c>
      <c r="J31" t="s">
        <v>3</v>
      </c>
      <c r="K31" t="s">
        <v>10</v>
      </c>
      <c r="L31" t="s">
        <v>14</v>
      </c>
      <c r="M31" s="2">
        <v>600</v>
      </c>
      <c r="N31" t="s">
        <v>106</v>
      </c>
      <c r="O31" t="str">
        <f>_xlfn.XLOOKUP(Travel[[#This Row],[Transportation Type]],'Pivot Table'!$Z$3:$Z$9,'Pivot Table'!$AA$3:$AA$9)</f>
        <v>Roadway</v>
      </c>
      <c r="P31" s="2">
        <v>300</v>
      </c>
      <c r="Q31" s="2">
        <f t="shared" si="0"/>
        <v>900</v>
      </c>
    </row>
    <row r="32" spans="1:17" x14ac:dyDescent="0.4">
      <c r="A32">
        <v>31</v>
      </c>
      <c r="B32" t="s">
        <v>34</v>
      </c>
      <c r="C32" t="s">
        <v>95</v>
      </c>
      <c r="D32" t="str">
        <f>_xlfn.XLOOKUP(Travel[[#This Row],[Destination Country]],'Pivot Table'!$Z$15:$Z$38,'Pivot Table'!$AA$15:$AA$38)</f>
        <v>Australia</v>
      </c>
      <c r="E32" s="1">
        <v>44793</v>
      </c>
      <c r="F32" s="1">
        <v>44601</v>
      </c>
      <c r="G32">
        <v>13</v>
      </c>
      <c r="H32" t="s">
        <v>167</v>
      </c>
      <c r="I32">
        <v>28</v>
      </c>
      <c r="J32" t="s">
        <v>7</v>
      </c>
      <c r="K32" t="s">
        <v>12</v>
      </c>
      <c r="L32" t="s">
        <v>5</v>
      </c>
      <c r="M32" s="2">
        <v>1000</v>
      </c>
      <c r="N32" t="s">
        <v>106</v>
      </c>
      <c r="O32" t="str">
        <f>_xlfn.XLOOKUP(Travel[[#This Row],[Transportation Type]],'Pivot Table'!$Z$3:$Z$9,'Pivot Table'!$AA$3:$AA$9)</f>
        <v>Roadway</v>
      </c>
      <c r="P32" s="2">
        <v>500</v>
      </c>
      <c r="Q32" s="2">
        <f t="shared" si="0"/>
        <v>1500</v>
      </c>
    </row>
    <row r="33" spans="1:17" x14ac:dyDescent="0.4">
      <c r="A33">
        <v>32</v>
      </c>
      <c r="B33" t="s">
        <v>107</v>
      </c>
      <c r="C33" t="s">
        <v>42</v>
      </c>
      <c r="D33" t="str">
        <f>_xlfn.XLOOKUP(Travel[[#This Row],[Destination Country]],'Pivot Table'!$Z$15:$Z$38,'Pivot Table'!$AA$15:$AA$38)</f>
        <v>South America</v>
      </c>
      <c r="E33" s="1">
        <v>44690</v>
      </c>
      <c r="F33" s="1">
        <v>44818</v>
      </c>
      <c r="G33">
        <v>9</v>
      </c>
      <c r="H33" t="s">
        <v>168</v>
      </c>
      <c r="I33">
        <v>33</v>
      </c>
      <c r="J33" t="s">
        <v>7</v>
      </c>
      <c r="K33" t="s">
        <v>16</v>
      </c>
      <c r="L33" t="s">
        <v>17</v>
      </c>
      <c r="M33" s="2">
        <v>150</v>
      </c>
      <c r="N33" t="s">
        <v>33</v>
      </c>
      <c r="O33" t="str">
        <f>_xlfn.XLOOKUP(Travel[[#This Row],[Transportation Type]],'Pivot Table'!$Z$3:$Z$9,'Pivot Table'!$AA$3:$AA$9)</f>
        <v>Roadway</v>
      </c>
      <c r="P33" s="2">
        <v>50</v>
      </c>
      <c r="Q33" s="2">
        <f t="shared" si="0"/>
        <v>200</v>
      </c>
    </row>
    <row r="34" spans="1:17" x14ac:dyDescent="0.4">
      <c r="A34">
        <v>33</v>
      </c>
      <c r="B34" t="s">
        <v>64</v>
      </c>
      <c r="C34" t="s">
        <v>43</v>
      </c>
      <c r="D34" t="str">
        <f>_xlfn.XLOOKUP(Travel[[#This Row],[Destination Country]],'Pivot Table'!$Z$15:$Z$38,'Pivot Table'!$AA$15:$AA$38)</f>
        <v>Europe</v>
      </c>
      <c r="E34" s="1">
        <v>44905</v>
      </c>
      <c r="F34" s="1">
        <v>44854</v>
      </c>
      <c r="G34">
        <v>8</v>
      </c>
      <c r="H34" t="s">
        <v>169</v>
      </c>
      <c r="I34">
        <v>20</v>
      </c>
      <c r="J34" t="s">
        <v>3</v>
      </c>
      <c r="K34" t="s">
        <v>4</v>
      </c>
      <c r="L34" t="s">
        <v>14</v>
      </c>
      <c r="M34" s="2">
        <v>400</v>
      </c>
      <c r="N34" t="s">
        <v>6</v>
      </c>
      <c r="O34" t="str">
        <f>_xlfn.XLOOKUP(Travel[[#This Row],[Transportation Type]],'Pivot Table'!$Z$3:$Z$9,'Pivot Table'!$AA$3:$AA$9)</f>
        <v>Airway</v>
      </c>
      <c r="P34" s="2">
        <v>600</v>
      </c>
      <c r="Q34" s="2">
        <f t="shared" ref="Q34:Q65" si="1">SUM(M34,P34)</f>
        <v>1000</v>
      </c>
    </row>
    <row r="35" spans="1:17" x14ac:dyDescent="0.4">
      <c r="A35">
        <v>34</v>
      </c>
      <c r="B35" t="s">
        <v>80</v>
      </c>
      <c r="C35" t="s">
        <v>44</v>
      </c>
      <c r="D35" t="str">
        <f>_xlfn.XLOOKUP(Travel[[#This Row],[Destination Country]],'Pivot Table'!$Z$15:$Z$38,'Pivot Table'!$AA$15:$AA$38)</f>
        <v>Africa</v>
      </c>
      <c r="E35" s="1">
        <v>44784</v>
      </c>
      <c r="F35" s="1">
        <v>44880</v>
      </c>
      <c r="G35">
        <v>7</v>
      </c>
      <c r="H35" t="s">
        <v>170</v>
      </c>
      <c r="I35">
        <v>37</v>
      </c>
      <c r="J35" t="s">
        <v>7</v>
      </c>
      <c r="K35" t="s">
        <v>8</v>
      </c>
      <c r="L35" t="s">
        <v>5</v>
      </c>
      <c r="M35" s="2">
        <v>700</v>
      </c>
      <c r="N35" t="s">
        <v>15</v>
      </c>
      <c r="O35" t="str">
        <f>_xlfn.XLOOKUP(Travel[[#This Row],[Transportation Type]],'Pivot Table'!$Z$3:$Z$9,'Pivot Table'!$AA$3:$AA$9)</f>
        <v>Railway</v>
      </c>
      <c r="P35" s="2">
        <v>100</v>
      </c>
      <c r="Q35" s="2">
        <f t="shared" si="1"/>
        <v>800</v>
      </c>
    </row>
    <row r="36" spans="1:17" x14ac:dyDescent="0.4">
      <c r="A36">
        <v>35</v>
      </c>
      <c r="B36" t="s">
        <v>71</v>
      </c>
      <c r="C36" t="s">
        <v>98</v>
      </c>
      <c r="D36" t="str">
        <f>_xlfn.XLOOKUP(Travel[[#This Row],[Destination Country]],'Pivot Table'!$Z$15:$Z$38,'Pivot Table'!$AA$15:$AA$38)</f>
        <v>North America</v>
      </c>
      <c r="E36" s="1">
        <v>45047</v>
      </c>
      <c r="F36" s="1">
        <v>44941</v>
      </c>
      <c r="G36">
        <v>10</v>
      </c>
      <c r="H36" t="s">
        <v>171</v>
      </c>
      <c r="I36">
        <v>42</v>
      </c>
      <c r="J36" t="s">
        <v>3</v>
      </c>
      <c r="K36" t="s">
        <v>12</v>
      </c>
      <c r="L36" t="s">
        <v>14</v>
      </c>
      <c r="M36" s="2">
        <v>500</v>
      </c>
      <c r="N36" t="s">
        <v>6</v>
      </c>
      <c r="O36" t="str">
        <f>_xlfn.XLOOKUP(Travel[[#This Row],[Transportation Type]],'Pivot Table'!$Z$3:$Z$9,'Pivot Table'!$AA$3:$AA$9)</f>
        <v>Airway</v>
      </c>
      <c r="P36" s="2">
        <v>800</v>
      </c>
      <c r="Q36" s="2">
        <f t="shared" si="1"/>
        <v>1300</v>
      </c>
    </row>
    <row r="37" spans="1:17" x14ac:dyDescent="0.4">
      <c r="A37">
        <v>36</v>
      </c>
      <c r="B37" t="s">
        <v>35</v>
      </c>
      <c r="C37" t="s">
        <v>45</v>
      </c>
      <c r="D37" t="str">
        <f>_xlfn.XLOOKUP(Travel[[#This Row],[Destination Country]],'Pivot Table'!$Z$15:$Z$38,'Pivot Table'!$AA$15:$AA$38)</f>
        <v>Europe</v>
      </c>
      <c r="E37" s="1">
        <v>44971</v>
      </c>
      <c r="F37" s="1">
        <v>44977</v>
      </c>
      <c r="G37">
        <v>6</v>
      </c>
      <c r="H37" t="s">
        <v>172</v>
      </c>
      <c r="I37">
        <v>31</v>
      </c>
      <c r="J37" t="s">
        <v>7</v>
      </c>
      <c r="K37" t="s">
        <v>4</v>
      </c>
      <c r="L37" t="s">
        <v>17</v>
      </c>
      <c r="M37" s="2">
        <v>180</v>
      </c>
      <c r="N37" t="s">
        <v>15</v>
      </c>
      <c r="O37" t="str">
        <f>_xlfn.XLOOKUP(Travel[[#This Row],[Transportation Type]],'Pivot Table'!$Z$3:$Z$9,'Pivot Table'!$AA$3:$AA$9)</f>
        <v>Railway</v>
      </c>
      <c r="P37" s="2">
        <v>120</v>
      </c>
      <c r="Q37" s="2">
        <f t="shared" si="1"/>
        <v>300</v>
      </c>
    </row>
    <row r="38" spans="1:17" x14ac:dyDescent="0.4">
      <c r="A38">
        <v>37</v>
      </c>
      <c r="B38" t="s">
        <v>40</v>
      </c>
      <c r="C38" t="s">
        <v>46</v>
      </c>
      <c r="D38" t="str">
        <f>_xlfn.XLOOKUP(Travel[[#This Row],[Destination Country]],'Pivot Table'!$Z$15:$Z$38,'Pivot Table'!$AA$15:$AA$38)</f>
        <v>Europe</v>
      </c>
      <c r="E38" s="1">
        <v>45008</v>
      </c>
      <c r="F38" s="1">
        <v>45016</v>
      </c>
      <c r="G38">
        <v>8</v>
      </c>
      <c r="H38" t="s">
        <v>173</v>
      </c>
      <c r="I38">
        <v>27</v>
      </c>
      <c r="J38" t="s">
        <v>3</v>
      </c>
      <c r="K38" t="s">
        <v>10</v>
      </c>
      <c r="L38" t="s">
        <v>5</v>
      </c>
      <c r="M38" s="2">
        <v>900</v>
      </c>
      <c r="N38" t="s">
        <v>106</v>
      </c>
      <c r="O38" t="str">
        <f>_xlfn.XLOOKUP(Travel[[#This Row],[Transportation Type]],'Pivot Table'!$Z$3:$Z$9,'Pivot Table'!$AA$3:$AA$9)</f>
        <v>Roadway</v>
      </c>
      <c r="P38" s="2">
        <v>400</v>
      </c>
      <c r="Q38" s="2">
        <f t="shared" si="1"/>
        <v>1300</v>
      </c>
    </row>
    <row r="39" spans="1:17" x14ac:dyDescent="0.4">
      <c r="A39">
        <v>38</v>
      </c>
      <c r="B39" t="s">
        <v>76</v>
      </c>
      <c r="C39" t="s">
        <v>47</v>
      </c>
      <c r="D39" t="str">
        <f>_xlfn.XLOOKUP(Travel[[#This Row],[Destination Country]],'Pivot Table'!$Z$15:$Z$38,'Pivot Table'!$AA$15:$AA$38)</f>
        <v>North America</v>
      </c>
      <c r="E39" s="1">
        <v>45035</v>
      </c>
      <c r="F39" s="1">
        <v>45042</v>
      </c>
      <c r="G39">
        <v>7</v>
      </c>
      <c r="H39" t="s">
        <v>174</v>
      </c>
      <c r="I39">
        <v>38</v>
      </c>
      <c r="J39" t="s">
        <v>7</v>
      </c>
      <c r="K39" t="s">
        <v>16</v>
      </c>
      <c r="L39" t="s">
        <v>14</v>
      </c>
      <c r="M39" s="2">
        <v>350</v>
      </c>
      <c r="N39" t="s">
        <v>33</v>
      </c>
      <c r="O39" t="str">
        <f>_xlfn.XLOOKUP(Travel[[#This Row],[Transportation Type]],'Pivot Table'!$Z$3:$Z$9,'Pivot Table'!$AA$3:$AA$9)</f>
        <v>Roadway</v>
      </c>
      <c r="P39" s="2">
        <v>75</v>
      </c>
      <c r="Q39" s="2">
        <f t="shared" si="1"/>
        <v>425</v>
      </c>
    </row>
    <row r="40" spans="1:17" x14ac:dyDescent="0.4">
      <c r="A40">
        <v>39</v>
      </c>
      <c r="B40" t="s">
        <v>28</v>
      </c>
      <c r="C40" t="s">
        <v>94</v>
      </c>
      <c r="D40" t="str">
        <f>_xlfn.XLOOKUP(Travel[[#This Row],[Destination Country]],'Pivot Table'!$Z$15:$Z$38,'Pivot Table'!$AA$15:$AA$38)</f>
        <v>Europe</v>
      </c>
      <c r="E40" s="1">
        <v>44901</v>
      </c>
      <c r="F40" s="1">
        <v>44731</v>
      </c>
      <c r="G40">
        <v>7</v>
      </c>
      <c r="H40" t="s">
        <v>172</v>
      </c>
      <c r="I40">
        <v>25</v>
      </c>
      <c r="J40" t="s">
        <v>7</v>
      </c>
      <c r="K40" t="s">
        <v>4</v>
      </c>
      <c r="L40" t="s">
        <v>5</v>
      </c>
      <c r="M40" s="2">
        <v>1400</v>
      </c>
      <c r="N40" t="s">
        <v>6</v>
      </c>
      <c r="O40" t="str">
        <f>_xlfn.XLOOKUP(Travel[[#This Row],[Transportation Type]],'Pivot Table'!$Z$3:$Z$9,'Pivot Table'!$AA$3:$AA$9)</f>
        <v>Airway</v>
      </c>
      <c r="P40" s="2">
        <v>600</v>
      </c>
      <c r="Q40" s="2">
        <f t="shared" si="1"/>
        <v>2000</v>
      </c>
    </row>
    <row r="41" spans="1:17" x14ac:dyDescent="0.4">
      <c r="A41">
        <v>40</v>
      </c>
      <c r="B41" t="s">
        <v>34</v>
      </c>
      <c r="C41" t="s">
        <v>95</v>
      </c>
      <c r="D41" t="str">
        <f>_xlfn.XLOOKUP(Travel[[#This Row],[Destination Country]],'Pivot Table'!$Z$15:$Z$38,'Pivot Table'!$AA$15:$AA$38)</f>
        <v>Australia</v>
      </c>
      <c r="E41" s="1">
        <v>44958</v>
      </c>
      <c r="F41" s="1">
        <v>45170</v>
      </c>
      <c r="G41">
        <v>7</v>
      </c>
      <c r="H41" t="s">
        <v>175</v>
      </c>
      <c r="I41">
        <v>33</v>
      </c>
      <c r="J41" t="s">
        <v>3</v>
      </c>
      <c r="K41" t="s">
        <v>8</v>
      </c>
      <c r="L41" t="s">
        <v>14</v>
      </c>
      <c r="M41" s="2">
        <v>800</v>
      </c>
      <c r="N41" t="s">
        <v>15</v>
      </c>
      <c r="O41" t="str">
        <f>_xlfn.XLOOKUP(Travel[[#This Row],[Transportation Type]],'Pivot Table'!$Z$3:$Z$9,'Pivot Table'!$AA$3:$AA$9)</f>
        <v>Railway</v>
      </c>
      <c r="P41" s="2">
        <v>150</v>
      </c>
      <c r="Q41" s="2">
        <f t="shared" si="1"/>
        <v>950</v>
      </c>
    </row>
    <row r="42" spans="1:17" x14ac:dyDescent="0.4">
      <c r="A42">
        <v>41</v>
      </c>
      <c r="B42" t="s">
        <v>31</v>
      </c>
      <c r="C42" t="s">
        <v>41</v>
      </c>
      <c r="D42" t="str">
        <f>_xlfn.XLOOKUP(Travel[[#This Row],[Destination Country]],'Pivot Table'!$Z$15:$Z$38,'Pivot Table'!$AA$15:$AA$38)</f>
        <v>Asia</v>
      </c>
      <c r="E42" s="1">
        <v>44846</v>
      </c>
      <c r="F42" s="1">
        <v>44913</v>
      </c>
      <c r="G42">
        <v>8</v>
      </c>
      <c r="H42" t="s">
        <v>176</v>
      </c>
      <c r="I42">
        <v>28</v>
      </c>
      <c r="J42" t="s">
        <v>7</v>
      </c>
      <c r="K42" t="s">
        <v>23</v>
      </c>
      <c r="L42" t="s">
        <v>17</v>
      </c>
      <c r="M42" s="2">
        <v>500</v>
      </c>
      <c r="N42" t="s">
        <v>6</v>
      </c>
      <c r="O42" t="str">
        <f>_xlfn.XLOOKUP(Travel[[#This Row],[Transportation Type]],'Pivot Table'!$Z$3:$Z$9,'Pivot Table'!$AA$3:$AA$9)</f>
        <v>Airway</v>
      </c>
      <c r="P42" s="2">
        <v>900</v>
      </c>
      <c r="Q42" s="2">
        <f t="shared" si="1"/>
        <v>1400</v>
      </c>
    </row>
    <row r="43" spans="1:17" x14ac:dyDescent="0.4">
      <c r="A43">
        <v>42</v>
      </c>
      <c r="B43" t="s">
        <v>71</v>
      </c>
      <c r="C43" t="s">
        <v>98</v>
      </c>
      <c r="D43" t="str">
        <f>_xlfn.XLOOKUP(Travel[[#This Row],[Destination Country]],'Pivot Table'!$Z$15:$Z$38,'Pivot Table'!$AA$15:$AA$38)</f>
        <v>North America</v>
      </c>
      <c r="E43" s="1">
        <v>44933</v>
      </c>
      <c r="F43" s="1">
        <v>45145</v>
      </c>
      <c r="G43">
        <v>7</v>
      </c>
      <c r="H43" t="s">
        <v>138</v>
      </c>
      <c r="I43">
        <v>45</v>
      </c>
      <c r="J43" t="s">
        <v>3</v>
      </c>
      <c r="K43" t="s">
        <v>4</v>
      </c>
      <c r="L43" t="s">
        <v>9</v>
      </c>
      <c r="M43" s="2">
        <v>2200</v>
      </c>
      <c r="N43" t="s">
        <v>6</v>
      </c>
      <c r="O43" t="str">
        <f>_xlfn.XLOOKUP(Travel[[#This Row],[Transportation Type]],'Pivot Table'!$Z$3:$Z$9,'Pivot Table'!$AA$3:$AA$9)</f>
        <v>Airway</v>
      </c>
      <c r="P43" s="2">
        <v>800</v>
      </c>
      <c r="Q43" s="2">
        <f t="shared" si="1"/>
        <v>3000</v>
      </c>
    </row>
    <row r="44" spans="1:17" x14ac:dyDescent="0.4">
      <c r="A44">
        <v>43</v>
      </c>
      <c r="B44" t="s">
        <v>107</v>
      </c>
      <c r="C44" t="s">
        <v>42</v>
      </c>
      <c r="D44" t="str">
        <f>_xlfn.XLOOKUP(Travel[[#This Row],[Destination Country]],'Pivot Table'!$Z$15:$Z$38,'Pivot Table'!$AA$15:$AA$38)</f>
        <v>South America</v>
      </c>
      <c r="E44" s="1">
        <v>44885</v>
      </c>
      <c r="F44" s="1">
        <v>44892</v>
      </c>
      <c r="G44">
        <v>7</v>
      </c>
      <c r="H44" t="s">
        <v>177</v>
      </c>
      <c r="I44">
        <v>30</v>
      </c>
      <c r="J44" t="s">
        <v>7</v>
      </c>
      <c r="K44" t="s">
        <v>18</v>
      </c>
      <c r="L44" t="s">
        <v>5</v>
      </c>
      <c r="M44" s="2">
        <v>1200</v>
      </c>
      <c r="N44" t="s">
        <v>6</v>
      </c>
      <c r="O44" t="str">
        <f>_xlfn.XLOOKUP(Travel[[#This Row],[Transportation Type]],'Pivot Table'!$Z$3:$Z$9,'Pivot Table'!$AA$3:$AA$9)</f>
        <v>Airway</v>
      </c>
      <c r="P44" s="2">
        <v>700</v>
      </c>
      <c r="Q44" s="2">
        <f t="shared" si="1"/>
        <v>1900</v>
      </c>
    </row>
    <row r="45" spans="1:17" x14ac:dyDescent="0.4">
      <c r="A45">
        <v>44</v>
      </c>
      <c r="B45" t="s">
        <v>30</v>
      </c>
      <c r="C45" t="s">
        <v>57</v>
      </c>
      <c r="D45" t="str">
        <f>_xlfn.XLOOKUP(Travel[[#This Row],[Destination Country]],'Pivot Table'!$Z$15:$Z$38,'Pivot Table'!$AA$15:$AA$38)</f>
        <v>Europe</v>
      </c>
      <c r="E45" s="1">
        <v>45049</v>
      </c>
      <c r="F45" s="1">
        <v>45263</v>
      </c>
      <c r="G45">
        <v>7</v>
      </c>
      <c r="H45" t="s">
        <v>178</v>
      </c>
      <c r="I45">
        <v>55</v>
      </c>
      <c r="J45" t="s">
        <v>3</v>
      </c>
      <c r="K45" t="s">
        <v>12</v>
      </c>
      <c r="L45" t="s">
        <v>14</v>
      </c>
      <c r="M45" s="2">
        <v>900</v>
      </c>
      <c r="N45" t="s">
        <v>15</v>
      </c>
      <c r="O45" t="str">
        <f>_xlfn.XLOOKUP(Travel[[#This Row],[Transportation Type]],'Pivot Table'!$Z$3:$Z$9,'Pivot Table'!$AA$3:$AA$9)</f>
        <v>Railway</v>
      </c>
      <c r="P45" s="2">
        <v>100</v>
      </c>
      <c r="Q45" s="2">
        <f t="shared" si="1"/>
        <v>1000</v>
      </c>
    </row>
    <row r="46" spans="1:17" x14ac:dyDescent="0.4">
      <c r="A46">
        <v>45</v>
      </c>
      <c r="B46" t="s">
        <v>40</v>
      </c>
      <c r="C46" t="s">
        <v>46</v>
      </c>
      <c r="D46" t="str">
        <f>_xlfn.XLOOKUP(Travel[[#This Row],[Destination Country]],'Pivot Table'!$Z$15:$Z$38,'Pivot Table'!$AA$15:$AA$38)</f>
        <v>Europe</v>
      </c>
      <c r="E46" s="1">
        <v>45156</v>
      </c>
      <c r="F46" s="1">
        <v>45163</v>
      </c>
      <c r="G46">
        <v>7</v>
      </c>
      <c r="H46" t="s">
        <v>179</v>
      </c>
      <c r="I46">
        <v>27</v>
      </c>
      <c r="J46" t="s">
        <v>7</v>
      </c>
      <c r="K46" t="s">
        <v>22</v>
      </c>
      <c r="L46" t="s">
        <v>17</v>
      </c>
      <c r="M46" s="2">
        <v>600</v>
      </c>
      <c r="N46" t="s">
        <v>6</v>
      </c>
      <c r="O46" t="str">
        <f>_xlfn.XLOOKUP(Travel[[#This Row],[Transportation Type]],'Pivot Table'!$Z$3:$Z$9,'Pivot Table'!$AA$3:$AA$9)</f>
        <v>Airway</v>
      </c>
      <c r="P46" s="2">
        <v>600</v>
      </c>
      <c r="Q46" s="2">
        <f t="shared" si="1"/>
        <v>1200</v>
      </c>
    </row>
    <row r="47" spans="1:17" x14ac:dyDescent="0.4">
      <c r="A47">
        <v>46</v>
      </c>
      <c r="B47" t="s">
        <v>105</v>
      </c>
      <c r="C47" t="s">
        <v>56</v>
      </c>
      <c r="D47" t="str">
        <f>_xlfn.XLOOKUP(Travel[[#This Row],[Destination Country]],'Pivot Table'!$Z$15:$Z$38,'Pivot Table'!$AA$15:$AA$38)</f>
        <v>North America</v>
      </c>
      <c r="E47" s="1">
        <v>44819</v>
      </c>
      <c r="F47" s="1">
        <v>44826</v>
      </c>
      <c r="G47">
        <v>7</v>
      </c>
      <c r="H47" t="s">
        <v>180</v>
      </c>
      <c r="I47">
        <v>41</v>
      </c>
      <c r="J47" t="s">
        <v>3</v>
      </c>
      <c r="K47" t="s">
        <v>4</v>
      </c>
      <c r="L47" t="s">
        <v>5</v>
      </c>
      <c r="M47" s="2">
        <v>1500</v>
      </c>
      <c r="N47" t="s">
        <v>6</v>
      </c>
      <c r="O47" t="str">
        <f>_xlfn.XLOOKUP(Travel[[#This Row],[Transportation Type]],'Pivot Table'!$Z$3:$Z$9,'Pivot Table'!$AA$3:$AA$9)</f>
        <v>Airway</v>
      </c>
      <c r="P47" s="2">
        <v>500</v>
      </c>
      <c r="Q47" s="2">
        <f t="shared" si="1"/>
        <v>2000</v>
      </c>
    </row>
    <row r="48" spans="1:17" x14ac:dyDescent="0.4">
      <c r="A48">
        <v>47</v>
      </c>
      <c r="B48" t="s">
        <v>37</v>
      </c>
      <c r="C48" t="s">
        <v>90</v>
      </c>
      <c r="D48" t="str">
        <f>_xlfn.XLOOKUP(Travel[[#This Row],[Destination Country]],'Pivot Table'!$Z$15:$Z$38,'Pivot Table'!$AA$15:$AA$38)</f>
        <v>Asia</v>
      </c>
      <c r="E48" s="1">
        <v>44931</v>
      </c>
      <c r="F48" s="1">
        <v>45112</v>
      </c>
      <c r="G48">
        <v>6</v>
      </c>
      <c r="H48" t="s">
        <v>181</v>
      </c>
      <c r="I48">
        <v>29</v>
      </c>
      <c r="J48" t="s">
        <v>7</v>
      </c>
      <c r="K48" t="s">
        <v>38</v>
      </c>
      <c r="L48" t="s">
        <v>14</v>
      </c>
      <c r="M48" s="2">
        <v>500</v>
      </c>
      <c r="N48" t="s">
        <v>33</v>
      </c>
      <c r="O48" t="str">
        <f>_xlfn.XLOOKUP(Travel[[#This Row],[Transportation Type]],'Pivot Table'!$Z$3:$Z$9,'Pivot Table'!$AA$3:$AA$9)</f>
        <v>Roadway</v>
      </c>
      <c r="P48" s="2">
        <v>50</v>
      </c>
      <c r="Q48" s="2">
        <f t="shared" si="1"/>
        <v>550</v>
      </c>
    </row>
    <row r="49" spans="1:17" x14ac:dyDescent="0.4">
      <c r="A49">
        <v>48</v>
      </c>
      <c r="B49" t="s">
        <v>76</v>
      </c>
      <c r="C49" t="s">
        <v>47</v>
      </c>
      <c r="D49" t="str">
        <f>_xlfn.XLOOKUP(Travel[[#This Row],[Destination Country]],'Pivot Table'!$Z$15:$Z$38,'Pivot Table'!$AA$15:$AA$38)</f>
        <v>North America</v>
      </c>
      <c r="E49" s="1">
        <v>44841</v>
      </c>
      <c r="F49" s="1">
        <v>44759</v>
      </c>
      <c r="G49">
        <v>7</v>
      </c>
      <c r="H49" t="s">
        <v>182</v>
      </c>
      <c r="I49">
        <v>24</v>
      </c>
      <c r="J49" t="s">
        <v>3</v>
      </c>
      <c r="K49" t="s">
        <v>10</v>
      </c>
      <c r="L49" t="s">
        <v>17</v>
      </c>
      <c r="M49" s="2">
        <v>400</v>
      </c>
      <c r="N49" t="s">
        <v>15</v>
      </c>
      <c r="O49" t="str">
        <f>_xlfn.XLOOKUP(Travel[[#This Row],[Transportation Type]],'Pivot Table'!$Z$3:$Z$9,'Pivot Table'!$AA$3:$AA$9)</f>
        <v>Railway</v>
      </c>
      <c r="P49" s="2">
        <v>150</v>
      </c>
      <c r="Q49" s="2">
        <f t="shared" si="1"/>
        <v>550</v>
      </c>
    </row>
    <row r="50" spans="1:17" x14ac:dyDescent="0.4">
      <c r="A50">
        <v>49</v>
      </c>
      <c r="B50" t="s">
        <v>60</v>
      </c>
      <c r="C50" t="s">
        <v>97</v>
      </c>
      <c r="D50" t="str">
        <f>_xlfn.XLOOKUP(Travel[[#This Row],[Destination Country]],'Pivot Table'!$Z$15:$Z$38,'Pivot Table'!$AA$15:$AA$38)</f>
        <v>Europe</v>
      </c>
      <c r="E50" s="1">
        <v>45097</v>
      </c>
      <c r="F50" s="1">
        <v>45105</v>
      </c>
      <c r="G50">
        <v>8</v>
      </c>
      <c r="H50" t="s">
        <v>183</v>
      </c>
      <c r="I50">
        <v>31</v>
      </c>
      <c r="J50" t="s">
        <v>7</v>
      </c>
      <c r="K50" t="s">
        <v>19</v>
      </c>
      <c r="L50" t="s">
        <v>5</v>
      </c>
      <c r="M50" s="2">
        <v>1100</v>
      </c>
      <c r="N50" t="s">
        <v>6</v>
      </c>
      <c r="O50" t="str">
        <f>_xlfn.XLOOKUP(Travel[[#This Row],[Transportation Type]],'Pivot Table'!$Z$3:$Z$9,'Pivot Table'!$AA$3:$AA$9)</f>
        <v>Airway</v>
      </c>
      <c r="P50" s="2">
        <v>700</v>
      </c>
      <c r="Q50" s="2">
        <f t="shared" si="1"/>
        <v>1800</v>
      </c>
    </row>
    <row r="51" spans="1:17" x14ac:dyDescent="0.4">
      <c r="A51">
        <v>50</v>
      </c>
      <c r="B51" t="s">
        <v>28</v>
      </c>
      <c r="C51" t="s">
        <v>94</v>
      </c>
      <c r="D51" t="str">
        <f>_xlfn.XLOOKUP(Travel[[#This Row],[Destination Country]],'Pivot Table'!$Z$15:$Z$38,'Pivot Table'!$AA$15:$AA$38)</f>
        <v>Europe</v>
      </c>
      <c r="E51" s="1">
        <v>45153</v>
      </c>
      <c r="F51" s="1">
        <v>45160</v>
      </c>
      <c r="G51">
        <v>7</v>
      </c>
      <c r="H51" t="s">
        <v>184</v>
      </c>
      <c r="I51">
        <v>31</v>
      </c>
      <c r="J51" t="s">
        <v>7</v>
      </c>
      <c r="K51" t="s">
        <v>8</v>
      </c>
      <c r="L51" t="s">
        <v>5</v>
      </c>
      <c r="M51" s="2">
        <v>1200</v>
      </c>
      <c r="N51" t="s">
        <v>15</v>
      </c>
      <c r="O51" t="str">
        <f>_xlfn.XLOOKUP(Travel[[#This Row],[Transportation Type]],'Pivot Table'!$Z$3:$Z$9,'Pivot Table'!$AA$3:$AA$9)</f>
        <v>Railway</v>
      </c>
      <c r="P51" s="2">
        <v>300</v>
      </c>
      <c r="Q51" s="2">
        <f t="shared" si="1"/>
        <v>1500</v>
      </c>
    </row>
    <row r="52" spans="1:17" x14ac:dyDescent="0.4">
      <c r="A52">
        <v>51</v>
      </c>
      <c r="B52" t="s">
        <v>31</v>
      </c>
      <c r="C52" t="s">
        <v>41</v>
      </c>
      <c r="D52" t="str">
        <f>_xlfn.XLOOKUP(Travel[[#This Row],[Destination Country]],'Pivot Table'!$Z$15:$Z$38,'Pivot Table'!$AA$15:$AA$38)</f>
        <v>Asia</v>
      </c>
      <c r="E52" s="1">
        <v>45209</v>
      </c>
      <c r="F52" s="1">
        <v>45219</v>
      </c>
      <c r="G52">
        <v>10</v>
      </c>
      <c r="H52" t="s">
        <v>162</v>
      </c>
      <c r="I52">
        <v>25</v>
      </c>
      <c r="J52" t="s">
        <v>3</v>
      </c>
      <c r="K52" t="s">
        <v>4</v>
      </c>
      <c r="L52" t="s">
        <v>17</v>
      </c>
      <c r="M52" s="2">
        <v>500</v>
      </c>
      <c r="N52" t="s">
        <v>33</v>
      </c>
      <c r="O52" t="str">
        <f>_xlfn.XLOOKUP(Travel[[#This Row],[Transportation Type]],'Pivot Table'!$Z$3:$Z$9,'Pivot Table'!$AA$3:$AA$9)</f>
        <v>Roadway</v>
      </c>
      <c r="P52" s="2">
        <v>100</v>
      </c>
      <c r="Q52" s="2">
        <f t="shared" si="1"/>
        <v>600</v>
      </c>
    </row>
    <row r="53" spans="1:17" x14ac:dyDescent="0.4">
      <c r="A53">
        <v>52</v>
      </c>
      <c r="B53" t="s">
        <v>34</v>
      </c>
      <c r="C53" t="s">
        <v>95</v>
      </c>
      <c r="D53" t="str">
        <f>_xlfn.XLOOKUP(Travel[[#This Row],[Destination Country]],'Pivot Table'!$Z$15:$Z$38,'Pivot Table'!$AA$15:$AA$38)</f>
        <v>Australia</v>
      </c>
      <c r="E53" s="1">
        <v>45057</v>
      </c>
      <c r="F53" s="1">
        <v>45271</v>
      </c>
      <c r="G53">
        <v>7</v>
      </c>
      <c r="H53" t="s">
        <v>185</v>
      </c>
      <c r="I53">
        <v>27</v>
      </c>
      <c r="J53" t="s">
        <v>7</v>
      </c>
      <c r="K53" t="s">
        <v>112</v>
      </c>
      <c r="L53" t="s">
        <v>14</v>
      </c>
      <c r="M53" s="2">
        <v>900</v>
      </c>
      <c r="N53" t="s">
        <v>106</v>
      </c>
      <c r="O53" t="str">
        <f>_xlfn.XLOOKUP(Travel[[#This Row],[Transportation Type]],'Pivot Table'!$Z$3:$Z$9,'Pivot Table'!$AA$3:$AA$9)</f>
        <v>Roadway</v>
      </c>
      <c r="P53" s="2">
        <v>200</v>
      </c>
      <c r="Q53" s="2">
        <f t="shared" si="1"/>
        <v>1100</v>
      </c>
    </row>
    <row r="54" spans="1:17" x14ac:dyDescent="0.4">
      <c r="A54">
        <v>53</v>
      </c>
      <c r="B54" t="s">
        <v>105</v>
      </c>
      <c r="C54" t="s">
        <v>56</v>
      </c>
      <c r="D54" t="str">
        <f>_xlfn.XLOOKUP(Travel[[#This Row],[Destination Country]],'Pivot Table'!$Z$15:$Z$38,'Pivot Table'!$AA$15:$AA$38)</f>
        <v>North America</v>
      </c>
      <c r="E54" s="1">
        <v>45284</v>
      </c>
      <c r="F54" s="1">
        <v>45291</v>
      </c>
      <c r="G54">
        <v>7</v>
      </c>
      <c r="H54" t="s">
        <v>186</v>
      </c>
      <c r="I54">
        <v>28</v>
      </c>
      <c r="J54" t="s">
        <v>7</v>
      </c>
      <c r="K54" t="s">
        <v>8</v>
      </c>
      <c r="L54" t="s">
        <v>5</v>
      </c>
      <c r="M54" s="2">
        <v>1400</v>
      </c>
      <c r="N54" t="s">
        <v>6</v>
      </c>
      <c r="O54" t="str">
        <f>_xlfn.XLOOKUP(Travel[[#This Row],[Transportation Type]],'Pivot Table'!$Z$3:$Z$9,'Pivot Table'!$AA$3:$AA$9)</f>
        <v>Airway</v>
      </c>
      <c r="P54" s="2">
        <v>800</v>
      </c>
      <c r="Q54" s="2">
        <f t="shared" si="1"/>
        <v>2200</v>
      </c>
    </row>
    <row r="55" spans="1:17" x14ac:dyDescent="0.4">
      <c r="A55">
        <v>54</v>
      </c>
      <c r="B55" t="s">
        <v>107</v>
      </c>
      <c r="C55" t="s">
        <v>42</v>
      </c>
      <c r="D55" t="str">
        <f>_xlfn.XLOOKUP(Travel[[#This Row],[Destination Country]],'Pivot Table'!$Z$15:$Z$38,'Pivot Table'!$AA$15:$AA$38)</f>
        <v>South America</v>
      </c>
      <c r="E55" s="1">
        <v>45306</v>
      </c>
      <c r="F55" s="1">
        <v>45315</v>
      </c>
      <c r="G55">
        <v>9</v>
      </c>
      <c r="H55" t="s">
        <v>187</v>
      </c>
      <c r="I55">
        <v>30</v>
      </c>
      <c r="J55" t="s">
        <v>3</v>
      </c>
      <c r="K55" t="s">
        <v>18</v>
      </c>
      <c r="L55" t="s">
        <v>14</v>
      </c>
      <c r="M55" s="2">
        <v>800</v>
      </c>
      <c r="N55" t="s">
        <v>15</v>
      </c>
      <c r="O55" t="str">
        <f>_xlfn.XLOOKUP(Travel[[#This Row],[Transportation Type]],'Pivot Table'!$Z$3:$Z$9,'Pivot Table'!$AA$3:$AA$9)</f>
        <v>Railway</v>
      </c>
      <c r="P55" s="2">
        <v>150</v>
      </c>
      <c r="Q55" s="2">
        <f t="shared" si="1"/>
        <v>950</v>
      </c>
    </row>
    <row r="56" spans="1:17" x14ac:dyDescent="0.4">
      <c r="A56">
        <v>55</v>
      </c>
      <c r="B56" t="s">
        <v>37</v>
      </c>
      <c r="C56" t="s">
        <v>90</v>
      </c>
      <c r="D56" t="str">
        <f>_xlfn.XLOOKUP(Travel[[#This Row],[Destination Country]],'Pivot Table'!$Z$15:$Z$38,'Pivot Table'!$AA$15:$AA$38)</f>
        <v>Asia</v>
      </c>
      <c r="E56" s="1">
        <v>45293</v>
      </c>
      <c r="F56" s="1">
        <v>45537</v>
      </c>
      <c r="G56">
        <v>8</v>
      </c>
      <c r="H56" t="s">
        <v>188</v>
      </c>
      <c r="I56">
        <v>23</v>
      </c>
      <c r="J56" t="s">
        <v>7</v>
      </c>
      <c r="K56" t="s">
        <v>38</v>
      </c>
      <c r="L56" t="s">
        <v>17</v>
      </c>
      <c r="M56" s="2">
        <v>400</v>
      </c>
      <c r="N56" t="s">
        <v>33</v>
      </c>
      <c r="O56" t="str">
        <f>_xlfn.XLOOKUP(Travel[[#This Row],[Transportation Type]],'Pivot Table'!$Z$3:$Z$9,'Pivot Table'!$AA$3:$AA$9)</f>
        <v>Roadway</v>
      </c>
      <c r="P56" s="2">
        <v>50</v>
      </c>
      <c r="Q56" s="2">
        <f t="shared" si="1"/>
        <v>450</v>
      </c>
    </row>
    <row r="57" spans="1:17" x14ac:dyDescent="0.4">
      <c r="A57">
        <v>56</v>
      </c>
      <c r="B57" t="s">
        <v>30</v>
      </c>
      <c r="C57" t="s">
        <v>57</v>
      </c>
      <c r="D57" t="str">
        <f>_xlfn.XLOOKUP(Travel[[#This Row],[Destination Country]],'Pivot Table'!$Z$15:$Z$38,'Pivot Table'!$AA$15:$AA$38)</f>
        <v>Europe</v>
      </c>
      <c r="E57" s="1">
        <v>45366</v>
      </c>
      <c r="F57" s="1">
        <v>45374</v>
      </c>
      <c r="G57">
        <v>8</v>
      </c>
      <c r="H57" t="s">
        <v>189</v>
      </c>
      <c r="I57">
        <v>35</v>
      </c>
      <c r="J57" t="s">
        <v>3</v>
      </c>
      <c r="K57" t="s">
        <v>12</v>
      </c>
      <c r="L57" t="s">
        <v>5</v>
      </c>
      <c r="M57" s="2">
        <v>1000</v>
      </c>
      <c r="N57" t="s">
        <v>15</v>
      </c>
      <c r="O57" t="str">
        <f>_xlfn.XLOOKUP(Travel[[#This Row],[Transportation Type]],'Pivot Table'!$Z$3:$Z$9,'Pivot Table'!$AA$3:$AA$9)</f>
        <v>Railway</v>
      </c>
      <c r="P57" s="2">
        <v>200</v>
      </c>
      <c r="Q57" s="2">
        <f t="shared" si="1"/>
        <v>1200</v>
      </c>
    </row>
    <row r="58" spans="1:17" x14ac:dyDescent="0.4">
      <c r="A58">
        <v>57</v>
      </c>
      <c r="B58" t="s">
        <v>40</v>
      </c>
      <c r="C58" t="s">
        <v>46</v>
      </c>
      <c r="D58" t="str">
        <f>_xlfn.XLOOKUP(Travel[[#This Row],[Destination Country]],'Pivot Table'!$Z$15:$Z$38,'Pivot Table'!$AA$15:$AA$38)</f>
        <v>Europe</v>
      </c>
      <c r="E58" s="1">
        <v>45416</v>
      </c>
      <c r="F58" s="1">
        <v>45395</v>
      </c>
      <c r="G58">
        <v>8</v>
      </c>
      <c r="H58" t="s">
        <v>190</v>
      </c>
      <c r="I58">
        <v>29</v>
      </c>
      <c r="J58" t="s">
        <v>7</v>
      </c>
      <c r="K58" t="s">
        <v>22</v>
      </c>
      <c r="L58" t="s">
        <v>14</v>
      </c>
      <c r="M58" s="2">
        <v>700</v>
      </c>
      <c r="N58" t="s">
        <v>106</v>
      </c>
      <c r="O58" t="str">
        <f>_xlfn.XLOOKUP(Travel[[#This Row],[Transportation Type]],'Pivot Table'!$Z$3:$Z$9,'Pivot Table'!$AA$3:$AA$9)</f>
        <v>Roadway</v>
      </c>
      <c r="P58" s="2">
        <v>250</v>
      </c>
      <c r="Q58" s="2">
        <f t="shared" si="1"/>
        <v>950</v>
      </c>
    </row>
    <row r="59" spans="1:17" x14ac:dyDescent="0.4">
      <c r="A59">
        <v>58</v>
      </c>
      <c r="B59" t="s">
        <v>55</v>
      </c>
      <c r="C59" t="s">
        <v>249</v>
      </c>
      <c r="D59" t="str">
        <f>_xlfn.XLOOKUP(Travel[[#This Row],[Destination Country]],'Pivot Table'!$Z$15:$Z$38,'Pivot Table'!$AA$15:$AA$38)</f>
        <v>Asia</v>
      </c>
      <c r="E59" s="1">
        <v>45570</v>
      </c>
      <c r="F59" s="1">
        <v>45430</v>
      </c>
      <c r="G59">
        <v>8</v>
      </c>
      <c r="H59" t="s">
        <v>191</v>
      </c>
      <c r="I59">
        <v>27</v>
      </c>
      <c r="J59" t="s">
        <v>3</v>
      </c>
      <c r="K59" t="s">
        <v>112</v>
      </c>
      <c r="L59" t="s">
        <v>17</v>
      </c>
      <c r="M59" s="2">
        <v>500</v>
      </c>
      <c r="N59" t="s">
        <v>48</v>
      </c>
      <c r="O59" t="str">
        <f>_xlfn.XLOOKUP(Travel[[#This Row],[Transportation Type]],'Pivot Table'!$Z$3:$Z$9,'Pivot Table'!$AA$3:$AA$9)</f>
        <v>Railway</v>
      </c>
      <c r="P59" s="2">
        <v>20</v>
      </c>
      <c r="Q59" s="2">
        <f t="shared" si="1"/>
        <v>520</v>
      </c>
    </row>
    <row r="60" spans="1:17" x14ac:dyDescent="0.4">
      <c r="A60">
        <v>59</v>
      </c>
      <c r="B60" t="s">
        <v>113</v>
      </c>
      <c r="C60" t="s">
        <v>56</v>
      </c>
      <c r="D60" t="str">
        <f>_xlfn.XLOOKUP(Travel[[#This Row],[Destination Country]],'Pivot Table'!$Z$15:$Z$38,'Pivot Table'!$AA$15:$AA$38)</f>
        <v>North America</v>
      </c>
      <c r="E60" s="1">
        <v>45463</v>
      </c>
      <c r="F60" s="1">
        <v>45470</v>
      </c>
      <c r="G60">
        <v>7</v>
      </c>
      <c r="H60" t="s">
        <v>192</v>
      </c>
      <c r="I60">
        <v>26</v>
      </c>
      <c r="J60" t="s">
        <v>3</v>
      </c>
      <c r="K60" t="s">
        <v>23</v>
      </c>
      <c r="L60" t="s">
        <v>5</v>
      </c>
      <c r="M60" s="2">
        <v>1200</v>
      </c>
      <c r="N60" t="s">
        <v>106</v>
      </c>
      <c r="O60" t="str">
        <f>_xlfn.XLOOKUP(Travel[[#This Row],[Transportation Type]],'Pivot Table'!$Z$3:$Z$9,'Pivot Table'!$AA$3:$AA$9)</f>
        <v>Roadway</v>
      </c>
      <c r="P60" s="2">
        <v>300</v>
      </c>
      <c r="Q60" s="2">
        <f t="shared" si="1"/>
        <v>1500</v>
      </c>
    </row>
    <row r="61" spans="1:17" x14ac:dyDescent="0.4">
      <c r="A61">
        <v>60</v>
      </c>
      <c r="B61" t="s">
        <v>35</v>
      </c>
      <c r="C61" t="s">
        <v>45</v>
      </c>
      <c r="D61" t="str">
        <f>_xlfn.XLOOKUP(Travel[[#This Row],[Destination Country]],'Pivot Table'!$Z$15:$Z$38,'Pivot Table'!$AA$15:$AA$38)</f>
        <v>Europe</v>
      </c>
      <c r="E61" s="1">
        <v>45488</v>
      </c>
      <c r="F61" s="1">
        <v>45496</v>
      </c>
      <c r="G61">
        <v>8</v>
      </c>
      <c r="H61" t="s">
        <v>193</v>
      </c>
      <c r="I61">
        <v>33</v>
      </c>
      <c r="J61" t="s">
        <v>7</v>
      </c>
      <c r="K61" t="s">
        <v>36</v>
      </c>
      <c r="L61" t="s">
        <v>14</v>
      </c>
      <c r="M61" s="2">
        <v>800</v>
      </c>
      <c r="N61" t="s">
        <v>15</v>
      </c>
      <c r="O61" t="str">
        <f>_xlfn.XLOOKUP(Travel[[#This Row],[Transportation Type]],'Pivot Table'!$Z$3:$Z$9,'Pivot Table'!$AA$3:$AA$9)</f>
        <v>Railway</v>
      </c>
      <c r="P61" s="2">
        <v>100</v>
      </c>
      <c r="Q61" s="2">
        <f t="shared" si="1"/>
        <v>900</v>
      </c>
    </row>
    <row r="62" spans="1:17" x14ac:dyDescent="0.4">
      <c r="A62">
        <v>61</v>
      </c>
      <c r="B62" t="s">
        <v>28</v>
      </c>
      <c r="C62" t="s">
        <v>94</v>
      </c>
      <c r="D62" t="str">
        <f>_xlfn.XLOOKUP(Travel[[#This Row],[Destination Country]],'Pivot Table'!$Z$15:$Z$38,'Pivot Table'!$AA$15:$AA$38)</f>
        <v>Europe</v>
      </c>
      <c r="E62" s="1">
        <v>44902</v>
      </c>
      <c r="F62" s="1">
        <v>44760</v>
      </c>
      <c r="G62">
        <v>6</v>
      </c>
      <c r="H62" t="s">
        <v>194</v>
      </c>
      <c r="I62">
        <v>35</v>
      </c>
      <c r="J62" t="s">
        <v>7</v>
      </c>
      <c r="K62" t="s">
        <v>4</v>
      </c>
      <c r="L62" t="s">
        <v>5</v>
      </c>
      <c r="M62" s="2">
        <v>1200</v>
      </c>
      <c r="N62" t="s">
        <v>6</v>
      </c>
      <c r="O62" t="str">
        <f>_xlfn.XLOOKUP(Travel[[#This Row],[Transportation Type]],'Pivot Table'!$Z$3:$Z$9,'Pivot Table'!$AA$3:$AA$9)</f>
        <v>Airway</v>
      </c>
      <c r="P62" s="2">
        <v>800</v>
      </c>
      <c r="Q62" s="2">
        <f t="shared" si="1"/>
        <v>2000</v>
      </c>
    </row>
    <row r="63" spans="1:17" x14ac:dyDescent="0.4">
      <c r="A63">
        <v>62</v>
      </c>
      <c r="B63" t="s">
        <v>31</v>
      </c>
      <c r="C63" t="s">
        <v>41</v>
      </c>
      <c r="D63" t="str">
        <f>_xlfn.XLOOKUP(Travel[[#This Row],[Destination Country]],'Pivot Table'!$Z$15:$Z$38,'Pivot Table'!$AA$15:$AA$38)</f>
        <v>Asia</v>
      </c>
      <c r="E63" s="1">
        <v>44629</v>
      </c>
      <c r="F63" s="1">
        <v>44843</v>
      </c>
      <c r="G63">
        <v>7</v>
      </c>
      <c r="H63" t="s">
        <v>156</v>
      </c>
      <c r="I63">
        <v>28</v>
      </c>
      <c r="J63" t="s">
        <v>3</v>
      </c>
      <c r="K63" t="s">
        <v>32</v>
      </c>
      <c r="L63" t="s">
        <v>17</v>
      </c>
      <c r="M63" s="2">
        <v>400</v>
      </c>
      <c r="N63" t="s">
        <v>15</v>
      </c>
      <c r="O63" t="str">
        <f>_xlfn.XLOOKUP(Travel[[#This Row],[Transportation Type]],'Pivot Table'!$Z$3:$Z$9,'Pivot Table'!$AA$3:$AA$9)</f>
        <v>Railway</v>
      </c>
      <c r="P63" s="2">
        <v>300</v>
      </c>
      <c r="Q63" s="2">
        <f t="shared" si="1"/>
        <v>700</v>
      </c>
    </row>
    <row r="64" spans="1:17" x14ac:dyDescent="0.4">
      <c r="A64">
        <v>63</v>
      </c>
      <c r="B64" t="s">
        <v>114</v>
      </c>
      <c r="C64" t="s">
        <v>251</v>
      </c>
      <c r="D64" t="str">
        <f>_xlfn.XLOOKUP(Travel[[#This Row],[Destination Country]],'Pivot Table'!$Z$15:$Z$38,'Pivot Table'!$AA$15:$AA$38)</f>
        <v>Africa</v>
      </c>
      <c r="E64" s="1">
        <v>45108</v>
      </c>
      <c r="F64" s="1">
        <v>44942</v>
      </c>
      <c r="G64">
        <v>9</v>
      </c>
      <c r="H64" t="s">
        <v>195</v>
      </c>
      <c r="I64">
        <v>29</v>
      </c>
      <c r="J64" t="s">
        <v>7</v>
      </c>
      <c r="K64" t="s">
        <v>12</v>
      </c>
      <c r="L64" t="s">
        <v>115</v>
      </c>
      <c r="M64" s="2">
        <v>800</v>
      </c>
      <c r="N64" t="s">
        <v>106</v>
      </c>
      <c r="O64" t="str">
        <f>_xlfn.XLOOKUP(Travel[[#This Row],[Transportation Type]],'Pivot Table'!$Z$3:$Z$9,'Pivot Table'!$AA$3:$AA$9)</f>
        <v>Roadway</v>
      </c>
      <c r="P64" s="2">
        <v>200</v>
      </c>
      <c r="Q64" s="2">
        <f t="shared" si="1"/>
        <v>1000</v>
      </c>
    </row>
    <row r="65" spans="1:17" x14ac:dyDescent="0.4">
      <c r="A65">
        <v>64</v>
      </c>
      <c r="B65" t="s">
        <v>34</v>
      </c>
      <c r="C65" t="s">
        <v>95</v>
      </c>
      <c r="D65" t="str">
        <f>_xlfn.XLOOKUP(Travel[[#This Row],[Destination Country]],'Pivot Table'!$Z$15:$Z$38,'Pivot Table'!$AA$15:$AA$38)</f>
        <v>Australia</v>
      </c>
      <c r="E65" s="1">
        <v>45100</v>
      </c>
      <c r="F65" s="1">
        <v>45106</v>
      </c>
      <c r="G65">
        <v>6</v>
      </c>
      <c r="H65" t="s">
        <v>140</v>
      </c>
      <c r="I65">
        <v>43</v>
      </c>
      <c r="J65" t="s">
        <v>3</v>
      </c>
      <c r="K65" t="s">
        <v>16</v>
      </c>
      <c r="L65" t="s">
        <v>5</v>
      </c>
      <c r="M65" s="2">
        <v>1500</v>
      </c>
      <c r="N65" t="s">
        <v>6</v>
      </c>
      <c r="O65" t="str">
        <f>_xlfn.XLOOKUP(Travel[[#This Row],[Transportation Type]],'Pivot Table'!$Z$3:$Z$9,'Pivot Table'!$AA$3:$AA$9)</f>
        <v>Airway</v>
      </c>
      <c r="P65" s="2">
        <v>1200</v>
      </c>
      <c r="Q65" s="2">
        <f t="shared" si="1"/>
        <v>2700</v>
      </c>
    </row>
    <row r="66" spans="1:17" x14ac:dyDescent="0.4">
      <c r="A66">
        <v>65</v>
      </c>
      <c r="B66" t="s">
        <v>40</v>
      </c>
      <c r="C66" t="s">
        <v>46</v>
      </c>
      <c r="D66" t="str">
        <f>_xlfn.XLOOKUP(Travel[[#This Row],[Destination Country]],'Pivot Table'!$Z$15:$Z$38,'Pivot Table'!$AA$15:$AA$38)</f>
        <v>Europe</v>
      </c>
      <c r="E66" s="1">
        <v>45156</v>
      </c>
      <c r="F66" s="1">
        <v>45163</v>
      </c>
      <c r="G66">
        <v>7</v>
      </c>
      <c r="H66" t="s">
        <v>196</v>
      </c>
      <c r="I66">
        <v>31</v>
      </c>
      <c r="J66" t="s">
        <v>7</v>
      </c>
      <c r="K66" t="s">
        <v>22</v>
      </c>
      <c r="L66" t="s">
        <v>115</v>
      </c>
      <c r="M66" s="2">
        <v>900</v>
      </c>
      <c r="N66" t="s">
        <v>6</v>
      </c>
      <c r="O66" t="str">
        <f>_xlfn.XLOOKUP(Travel[[#This Row],[Transportation Type]],'Pivot Table'!$Z$3:$Z$9,'Pivot Table'!$AA$3:$AA$9)</f>
        <v>Airway</v>
      </c>
      <c r="P66" s="2">
        <v>700</v>
      </c>
      <c r="Q66" s="2">
        <f t="shared" ref="Q66:Q97" si="2">SUM(M66,P66)</f>
        <v>1600</v>
      </c>
    </row>
    <row r="67" spans="1:17" x14ac:dyDescent="0.4">
      <c r="A67">
        <v>66</v>
      </c>
      <c r="B67" t="s">
        <v>29</v>
      </c>
      <c r="C67" t="s">
        <v>92</v>
      </c>
      <c r="D67" t="str">
        <f>_xlfn.XLOOKUP(Travel[[#This Row],[Destination Country]],'Pivot Table'!$Z$15:$Z$38,'Pivot Table'!$AA$15:$AA$38)</f>
        <v>Asia</v>
      </c>
      <c r="E67" s="1">
        <v>45293</v>
      </c>
      <c r="F67" s="1">
        <v>45506</v>
      </c>
      <c r="G67">
        <v>7</v>
      </c>
      <c r="H67" t="s">
        <v>197</v>
      </c>
      <c r="I67">
        <v>27</v>
      </c>
      <c r="J67" t="s">
        <v>3</v>
      </c>
      <c r="K67" t="s">
        <v>4</v>
      </c>
      <c r="L67" t="s">
        <v>9</v>
      </c>
      <c r="M67" s="2">
        <v>2200</v>
      </c>
      <c r="N67" t="s">
        <v>6</v>
      </c>
      <c r="O67" t="str">
        <f>_xlfn.XLOOKUP(Travel[[#This Row],[Transportation Type]],'Pivot Table'!$Z$3:$Z$9,'Pivot Table'!$AA$3:$AA$9)</f>
        <v>Airway</v>
      </c>
      <c r="P67" s="2">
        <v>1000</v>
      </c>
      <c r="Q67" s="2">
        <f t="shared" si="2"/>
        <v>3200</v>
      </c>
    </row>
    <row r="68" spans="1:17" x14ac:dyDescent="0.4">
      <c r="A68">
        <v>67</v>
      </c>
      <c r="B68" t="s">
        <v>28</v>
      </c>
      <c r="C68" t="s">
        <v>94</v>
      </c>
      <c r="D68" t="str">
        <f>_xlfn.XLOOKUP(Travel[[#This Row],[Destination Country]],'Pivot Table'!$Z$15:$Z$38,'Pivot Table'!$AA$15:$AA$38)</f>
        <v>Europe</v>
      </c>
      <c r="E68" s="1">
        <v>45448</v>
      </c>
      <c r="F68" s="1">
        <v>45631</v>
      </c>
      <c r="G68">
        <v>6</v>
      </c>
      <c r="H68" t="s">
        <v>198</v>
      </c>
      <c r="I68">
        <v>39</v>
      </c>
      <c r="J68" t="s">
        <v>7</v>
      </c>
      <c r="K68" t="s">
        <v>49</v>
      </c>
      <c r="L68" t="s">
        <v>5</v>
      </c>
      <c r="M68" s="2">
        <v>1100</v>
      </c>
      <c r="N68" t="s">
        <v>15</v>
      </c>
      <c r="O68" t="str">
        <f>_xlfn.XLOOKUP(Travel[[#This Row],[Transportation Type]],'Pivot Table'!$Z$3:$Z$9,'Pivot Table'!$AA$3:$AA$9)</f>
        <v>Railway</v>
      </c>
      <c r="P68" s="2">
        <v>200</v>
      </c>
      <c r="Q68" s="2">
        <f t="shared" si="2"/>
        <v>1300</v>
      </c>
    </row>
    <row r="69" spans="1:17" x14ac:dyDescent="0.4">
      <c r="A69">
        <v>68</v>
      </c>
      <c r="B69" t="s">
        <v>105</v>
      </c>
      <c r="C69" t="s">
        <v>56</v>
      </c>
      <c r="D69" t="str">
        <f>_xlfn.XLOOKUP(Travel[[#This Row],[Destination Country]],'Pivot Table'!$Z$15:$Z$38,'Pivot Table'!$AA$15:$AA$38)</f>
        <v>North America</v>
      </c>
      <c r="E69" s="1">
        <v>45493</v>
      </c>
      <c r="F69" s="1">
        <v>45499</v>
      </c>
      <c r="G69">
        <v>6</v>
      </c>
      <c r="H69" t="s">
        <v>199</v>
      </c>
      <c r="I69">
        <v>25</v>
      </c>
      <c r="J69" t="s">
        <v>3</v>
      </c>
      <c r="K69" t="s">
        <v>4</v>
      </c>
      <c r="L69" t="s">
        <v>115</v>
      </c>
      <c r="M69" s="2">
        <v>1000</v>
      </c>
      <c r="N69" t="s">
        <v>6</v>
      </c>
      <c r="O69" t="str">
        <f>_xlfn.XLOOKUP(Travel[[#This Row],[Transportation Type]],'Pivot Table'!$Z$3:$Z$9,'Pivot Table'!$AA$3:$AA$9)</f>
        <v>Airway</v>
      </c>
      <c r="P69" s="2">
        <v>800</v>
      </c>
      <c r="Q69" s="2">
        <f t="shared" si="2"/>
        <v>1800</v>
      </c>
    </row>
    <row r="70" spans="1:17" x14ac:dyDescent="0.4">
      <c r="A70">
        <v>69</v>
      </c>
      <c r="B70" t="s">
        <v>37</v>
      </c>
      <c r="C70" t="s">
        <v>90</v>
      </c>
      <c r="D70" t="str">
        <f>_xlfn.XLOOKUP(Travel[[#This Row],[Destination Country]],'Pivot Table'!$Z$15:$Z$38,'Pivot Table'!$AA$15:$AA$38)</f>
        <v>Asia</v>
      </c>
      <c r="E70" s="1">
        <v>45513</v>
      </c>
      <c r="F70" s="1">
        <v>45551</v>
      </c>
      <c r="G70">
        <v>8</v>
      </c>
      <c r="H70" t="s">
        <v>200</v>
      </c>
      <c r="I70">
        <v>33</v>
      </c>
      <c r="J70" t="s">
        <v>7</v>
      </c>
      <c r="K70" t="s">
        <v>38</v>
      </c>
      <c r="L70" t="s">
        <v>17</v>
      </c>
      <c r="M70" s="2">
        <v>300</v>
      </c>
      <c r="N70" t="s">
        <v>6</v>
      </c>
      <c r="O70" t="str">
        <f>_xlfn.XLOOKUP(Travel[[#This Row],[Transportation Type]],'Pivot Table'!$Z$3:$Z$9,'Pivot Table'!$AA$3:$AA$9)</f>
        <v>Airway</v>
      </c>
      <c r="P70" s="2">
        <v>700</v>
      </c>
      <c r="Q70" s="2">
        <f t="shared" si="2"/>
        <v>1000</v>
      </c>
    </row>
    <row r="71" spans="1:17" x14ac:dyDescent="0.4">
      <c r="A71">
        <v>70</v>
      </c>
      <c r="B71" t="s">
        <v>35</v>
      </c>
      <c r="C71" t="s">
        <v>45</v>
      </c>
      <c r="D71" t="str">
        <f>_xlfn.XLOOKUP(Travel[[#This Row],[Destination Country]],'Pivot Table'!$Z$15:$Z$38,'Pivot Table'!$AA$15:$AA$38)</f>
        <v>Europe</v>
      </c>
      <c r="E71" s="1">
        <v>45702</v>
      </c>
      <c r="F71" s="1">
        <v>45708</v>
      </c>
      <c r="G71">
        <v>6</v>
      </c>
      <c r="H71" t="s">
        <v>201</v>
      </c>
      <c r="I71">
        <v>41</v>
      </c>
      <c r="J71" t="s">
        <v>3</v>
      </c>
      <c r="K71" t="s">
        <v>36</v>
      </c>
      <c r="L71" t="s">
        <v>5</v>
      </c>
      <c r="M71" s="2">
        <v>1300</v>
      </c>
      <c r="N71" t="s">
        <v>15</v>
      </c>
      <c r="O71" t="str">
        <f>_xlfn.XLOOKUP(Travel[[#This Row],[Transportation Type]],'Pivot Table'!$Z$3:$Z$9,'Pivot Table'!$AA$3:$AA$9)</f>
        <v>Railway</v>
      </c>
      <c r="P71" s="2">
        <v>100</v>
      </c>
      <c r="Q71" s="2">
        <f t="shared" si="2"/>
        <v>1400</v>
      </c>
    </row>
    <row r="72" spans="1:17" x14ac:dyDescent="0.4">
      <c r="A72">
        <v>71</v>
      </c>
      <c r="B72" t="s">
        <v>29</v>
      </c>
      <c r="C72" t="s">
        <v>92</v>
      </c>
      <c r="D72" t="str">
        <f>_xlfn.XLOOKUP(Travel[[#This Row],[Destination Country]],'Pivot Table'!$Z$15:$Z$38,'Pivot Table'!$AA$15:$AA$38)</f>
        <v>Asia</v>
      </c>
      <c r="E72" s="1">
        <v>45798</v>
      </c>
      <c r="F72" s="1">
        <v>45806</v>
      </c>
      <c r="G72">
        <v>8</v>
      </c>
      <c r="H72" t="s">
        <v>202</v>
      </c>
      <c r="I72">
        <v>37</v>
      </c>
      <c r="J72" t="s">
        <v>7</v>
      </c>
      <c r="K72" t="s">
        <v>12</v>
      </c>
      <c r="L72" t="s">
        <v>9</v>
      </c>
      <c r="M72" s="2">
        <v>1800</v>
      </c>
      <c r="N72" t="s">
        <v>6</v>
      </c>
      <c r="O72" t="str">
        <f>_xlfn.XLOOKUP(Travel[[#This Row],[Transportation Type]],'Pivot Table'!$Z$3:$Z$9,'Pivot Table'!$AA$3:$AA$9)</f>
        <v>Airway</v>
      </c>
      <c r="P72" s="2">
        <v>1000</v>
      </c>
      <c r="Q72" s="2">
        <f t="shared" si="2"/>
        <v>2800</v>
      </c>
    </row>
    <row r="73" spans="1:17" x14ac:dyDescent="0.4">
      <c r="A73">
        <v>73</v>
      </c>
      <c r="B73" t="s">
        <v>29</v>
      </c>
      <c r="C73" t="s">
        <v>92</v>
      </c>
      <c r="D73" t="str">
        <f>_xlfn.XLOOKUP(Travel[[#This Row],[Destination Country]],'Pivot Table'!$Z$15:$Z$38,'Pivot Table'!$AA$15:$AA$38)</f>
        <v>Asia</v>
      </c>
      <c r="E73" s="1">
        <v>44689</v>
      </c>
      <c r="F73" s="1">
        <v>44903</v>
      </c>
      <c r="G73">
        <v>7</v>
      </c>
      <c r="H73" t="s">
        <v>203</v>
      </c>
      <c r="I73">
        <v>35</v>
      </c>
      <c r="J73" t="s">
        <v>7</v>
      </c>
      <c r="K73" t="s">
        <v>112</v>
      </c>
      <c r="L73" t="s">
        <v>9</v>
      </c>
      <c r="M73" s="2">
        <v>500</v>
      </c>
      <c r="N73" t="s">
        <v>6</v>
      </c>
      <c r="O73" t="str">
        <f>_xlfn.XLOOKUP(Travel[[#This Row],[Transportation Type]],'Pivot Table'!$Z$3:$Z$9,'Pivot Table'!$AA$3:$AA$9)</f>
        <v>Airway</v>
      </c>
      <c r="P73" s="2">
        <v>800</v>
      </c>
      <c r="Q73" s="2">
        <f t="shared" si="2"/>
        <v>1300</v>
      </c>
    </row>
    <row r="74" spans="1:17" x14ac:dyDescent="0.4">
      <c r="A74">
        <v>74</v>
      </c>
      <c r="B74" t="s">
        <v>31</v>
      </c>
      <c r="C74" t="s">
        <v>41</v>
      </c>
      <c r="D74" t="str">
        <f>_xlfn.XLOOKUP(Travel[[#This Row],[Destination Country]],'Pivot Table'!$Z$15:$Z$38,'Pivot Table'!$AA$15:$AA$38)</f>
        <v>Asia</v>
      </c>
      <c r="E74" s="1">
        <v>44927</v>
      </c>
      <c r="F74" s="1">
        <v>45170</v>
      </c>
      <c r="G74">
        <v>8</v>
      </c>
      <c r="H74" t="s">
        <v>204</v>
      </c>
      <c r="I74">
        <v>29</v>
      </c>
      <c r="J74" t="s">
        <v>3</v>
      </c>
      <c r="K74" t="s">
        <v>4</v>
      </c>
      <c r="L74" t="s">
        <v>5</v>
      </c>
      <c r="M74" s="2">
        <v>1000</v>
      </c>
      <c r="N74" t="s">
        <v>15</v>
      </c>
      <c r="O74" t="str">
        <f>_xlfn.XLOOKUP(Travel[[#This Row],[Transportation Type]],'Pivot Table'!$Z$3:$Z$9,'Pivot Table'!$AA$3:$AA$9)</f>
        <v>Railway</v>
      </c>
      <c r="P74" s="2">
        <v>200</v>
      </c>
      <c r="Q74" s="2">
        <f t="shared" si="2"/>
        <v>1200</v>
      </c>
    </row>
    <row r="75" spans="1:17" x14ac:dyDescent="0.4">
      <c r="A75">
        <v>75</v>
      </c>
      <c r="B75" t="s">
        <v>71</v>
      </c>
      <c r="C75" t="s">
        <v>98</v>
      </c>
      <c r="D75" t="str">
        <f>_xlfn.XLOOKUP(Travel[[#This Row],[Destination Country]],'Pivot Table'!$Z$15:$Z$38,'Pivot Table'!$AA$15:$AA$38)</f>
        <v>North America</v>
      </c>
      <c r="E75" s="1">
        <v>45031</v>
      </c>
      <c r="F75" s="1">
        <v>45038</v>
      </c>
      <c r="G75">
        <v>7</v>
      </c>
      <c r="H75" t="s">
        <v>205</v>
      </c>
      <c r="I75">
        <v>42</v>
      </c>
      <c r="J75" t="s">
        <v>7</v>
      </c>
      <c r="K75" t="s">
        <v>21</v>
      </c>
      <c r="L75" t="s">
        <v>9</v>
      </c>
      <c r="M75" s="2">
        <v>800</v>
      </c>
      <c r="N75" t="s">
        <v>6</v>
      </c>
      <c r="O75" t="str">
        <f>_xlfn.XLOOKUP(Travel[[#This Row],[Transportation Type]],'Pivot Table'!$Z$3:$Z$9,'Pivot Table'!$AA$3:$AA$9)</f>
        <v>Airway</v>
      </c>
      <c r="P75" s="2">
        <v>500</v>
      </c>
      <c r="Q75" s="2">
        <f t="shared" si="2"/>
        <v>1300</v>
      </c>
    </row>
    <row r="76" spans="1:17" x14ac:dyDescent="0.4">
      <c r="A76">
        <v>76</v>
      </c>
      <c r="B76" t="s">
        <v>28</v>
      </c>
      <c r="C76" t="s">
        <v>94</v>
      </c>
      <c r="D76" t="str">
        <f>_xlfn.XLOOKUP(Travel[[#This Row],[Destination Country]],'Pivot Table'!$Z$15:$Z$38,'Pivot Table'!$AA$15:$AA$38)</f>
        <v>Europe</v>
      </c>
      <c r="E76" s="1">
        <v>45113</v>
      </c>
      <c r="F76" s="1">
        <v>45091</v>
      </c>
      <c r="G76">
        <v>7</v>
      </c>
      <c r="H76" t="s">
        <v>138</v>
      </c>
      <c r="I76">
        <v>46</v>
      </c>
      <c r="J76" t="s">
        <v>3</v>
      </c>
      <c r="K76" t="s">
        <v>12</v>
      </c>
      <c r="L76" t="s">
        <v>5</v>
      </c>
      <c r="M76" s="2">
        <v>1200</v>
      </c>
      <c r="N76" t="s">
        <v>6</v>
      </c>
      <c r="O76" t="str">
        <f>_xlfn.XLOOKUP(Travel[[#This Row],[Transportation Type]],'Pivot Table'!$Z$3:$Z$9,'Pivot Table'!$AA$3:$AA$9)</f>
        <v>Airway</v>
      </c>
      <c r="P76" s="2">
        <v>700</v>
      </c>
      <c r="Q76" s="2">
        <f t="shared" si="2"/>
        <v>1900</v>
      </c>
    </row>
    <row r="77" spans="1:17" x14ac:dyDescent="0.4">
      <c r="A77">
        <v>77</v>
      </c>
      <c r="B77" t="s">
        <v>114</v>
      </c>
      <c r="C77" t="s">
        <v>251</v>
      </c>
      <c r="D77" t="str">
        <f>_xlfn.XLOOKUP(Travel[[#This Row],[Destination Country]],'Pivot Table'!$Z$15:$Z$38,'Pivot Table'!$AA$15:$AA$38)</f>
        <v>Africa</v>
      </c>
      <c r="E77" s="1">
        <v>44935</v>
      </c>
      <c r="F77" s="1">
        <v>45208</v>
      </c>
      <c r="G77">
        <v>9</v>
      </c>
      <c r="H77" t="s">
        <v>206</v>
      </c>
      <c r="I77">
        <v>31</v>
      </c>
      <c r="J77" t="s">
        <v>3</v>
      </c>
      <c r="K77" t="s">
        <v>116</v>
      </c>
      <c r="L77" t="s">
        <v>50</v>
      </c>
      <c r="M77" s="2">
        <v>400</v>
      </c>
      <c r="N77" t="s">
        <v>51</v>
      </c>
      <c r="O77" t="str">
        <f>_xlfn.XLOOKUP(Travel[[#This Row],[Transportation Type]],'Pivot Table'!$Z$3:$Z$9,'Pivot Table'!$AA$3:$AA$9)</f>
        <v>Roadway</v>
      </c>
      <c r="P77" s="2">
        <v>300</v>
      </c>
      <c r="Q77" s="2">
        <f t="shared" si="2"/>
        <v>700</v>
      </c>
    </row>
    <row r="78" spans="1:17" x14ac:dyDescent="0.4">
      <c r="A78">
        <v>78</v>
      </c>
      <c r="B78" t="s">
        <v>29</v>
      </c>
      <c r="C78" t="s">
        <v>92</v>
      </c>
      <c r="D78" t="str">
        <f>_xlfn.XLOOKUP(Travel[[#This Row],[Destination Country]],'Pivot Table'!$Z$15:$Z$38,'Pivot Table'!$AA$15:$AA$38)</f>
        <v>Asia</v>
      </c>
      <c r="E78" s="1">
        <v>45271</v>
      </c>
      <c r="F78" s="1">
        <v>45249</v>
      </c>
      <c r="G78">
        <v>7</v>
      </c>
      <c r="H78" t="s">
        <v>207</v>
      </c>
      <c r="I78">
        <v>25</v>
      </c>
      <c r="J78" t="s">
        <v>7</v>
      </c>
      <c r="K78" t="s">
        <v>52</v>
      </c>
      <c r="L78" t="s">
        <v>9</v>
      </c>
      <c r="M78" s="2">
        <v>600</v>
      </c>
      <c r="N78" t="s">
        <v>6</v>
      </c>
      <c r="O78" t="str">
        <f>_xlfn.XLOOKUP(Travel[[#This Row],[Transportation Type]],'Pivot Table'!$Z$3:$Z$9,'Pivot Table'!$AA$3:$AA$9)</f>
        <v>Airway</v>
      </c>
      <c r="P78" s="2">
        <v>700</v>
      </c>
      <c r="Q78" s="2">
        <f t="shared" si="2"/>
        <v>1300</v>
      </c>
    </row>
    <row r="79" spans="1:17" x14ac:dyDescent="0.4">
      <c r="A79">
        <v>79</v>
      </c>
      <c r="B79" t="s">
        <v>34</v>
      </c>
      <c r="C79" t="s">
        <v>95</v>
      </c>
      <c r="D79" t="str">
        <f>_xlfn.XLOOKUP(Travel[[#This Row],[Destination Country]],'Pivot Table'!$Z$15:$Z$38,'Pivot Table'!$AA$15:$AA$38)</f>
        <v>Australia</v>
      </c>
      <c r="E79" s="1">
        <v>45414</v>
      </c>
      <c r="F79" s="1">
        <v>45628</v>
      </c>
      <c r="G79">
        <v>7</v>
      </c>
      <c r="H79" t="s">
        <v>140</v>
      </c>
      <c r="I79">
        <v>38</v>
      </c>
      <c r="J79" t="s">
        <v>3</v>
      </c>
      <c r="K79" t="s">
        <v>16</v>
      </c>
      <c r="L79" t="s">
        <v>5</v>
      </c>
      <c r="M79" s="2">
        <v>900</v>
      </c>
      <c r="N79" t="s">
        <v>6</v>
      </c>
      <c r="O79" t="str">
        <f>_xlfn.XLOOKUP(Travel[[#This Row],[Transportation Type]],'Pivot Table'!$Z$3:$Z$9,'Pivot Table'!$AA$3:$AA$9)</f>
        <v>Airway</v>
      </c>
      <c r="P79" s="2">
        <v>600</v>
      </c>
      <c r="Q79" s="2">
        <f t="shared" si="2"/>
        <v>1500</v>
      </c>
    </row>
    <row r="80" spans="1:17" x14ac:dyDescent="0.4">
      <c r="A80">
        <v>80</v>
      </c>
      <c r="B80" t="s">
        <v>37</v>
      </c>
      <c r="C80" t="s">
        <v>90</v>
      </c>
      <c r="D80" t="str">
        <f>_xlfn.XLOOKUP(Travel[[#This Row],[Destination Country]],'Pivot Table'!$Z$15:$Z$38,'Pivot Table'!$AA$15:$AA$38)</f>
        <v>Asia</v>
      </c>
      <c r="E80" s="1">
        <v>45427</v>
      </c>
      <c r="F80" s="1">
        <v>45434</v>
      </c>
      <c r="G80">
        <v>7</v>
      </c>
      <c r="H80" t="s">
        <v>208</v>
      </c>
      <c r="I80">
        <v>27</v>
      </c>
      <c r="J80" t="s">
        <v>7</v>
      </c>
      <c r="K80" t="s">
        <v>10</v>
      </c>
      <c r="L80" t="s">
        <v>5</v>
      </c>
      <c r="M80" s="2">
        <v>400</v>
      </c>
      <c r="N80" t="s">
        <v>6</v>
      </c>
      <c r="O80" t="str">
        <f>_xlfn.XLOOKUP(Travel[[#This Row],[Transportation Type]],'Pivot Table'!$Z$3:$Z$9,'Pivot Table'!$AA$3:$AA$9)</f>
        <v>Airway</v>
      </c>
      <c r="P80" s="2">
        <v>400</v>
      </c>
      <c r="Q80" s="2">
        <f t="shared" si="2"/>
        <v>800</v>
      </c>
    </row>
    <row r="81" spans="1:17" x14ac:dyDescent="0.4">
      <c r="A81">
        <v>81</v>
      </c>
      <c r="B81" t="s">
        <v>105</v>
      </c>
      <c r="C81" t="s">
        <v>56</v>
      </c>
      <c r="D81" t="str">
        <f>_xlfn.XLOOKUP(Travel[[#This Row],[Destination Country]],'Pivot Table'!$Z$15:$Z$38,'Pivot Table'!$AA$15:$AA$38)</f>
        <v>North America</v>
      </c>
      <c r="E81" s="1">
        <v>45524</v>
      </c>
      <c r="F81" s="1">
        <v>45531</v>
      </c>
      <c r="G81">
        <v>7</v>
      </c>
      <c r="H81" t="s">
        <v>209</v>
      </c>
      <c r="I81">
        <v>60</v>
      </c>
      <c r="J81" t="s">
        <v>3</v>
      </c>
      <c r="K81" t="s">
        <v>4</v>
      </c>
      <c r="L81" t="s">
        <v>5</v>
      </c>
      <c r="M81" s="2">
        <v>1500</v>
      </c>
      <c r="N81" t="s">
        <v>6</v>
      </c>
      <c r="O81" t="str">
        <f>_xlfn.XLOOKUP(Travel[[#This Row],[Transportation Type]],'Pivot Table'!$Z$3:$Z$9,'Pivot Table'!$AA$3:$AA$9)</f>
        <v>Airway</v>
      </c>
      <c r="P81" s="2">
        <v>1000</v>
      </c>
      <c r="Q81" s="2">
        <f t="shared" si="2"/>
        <v>2500</v>
      </c>
    </row>
    <row r="82" spans="1:17" x14ac:dyDescent="0.4">
      <c r="A82">
        <v>82</v>
      </c>
      <c r="B82" t="s">
        <v>62</v>
      </c>
      <c r="C82" t="s">
        <v>90</v>
      </c>
      <c r="D82" t="str">
        <f>_xlfn.XLOOKUP(Travel[[#This Row],[Destination Country]],'Pivot Table'!$Z$15:$Z$38,'Pivot Table'!$AA$15:$AA$38)</f>
        <v>Asia</v>
      </c>
      <c r="E82" s="1">
        <v>45658</v>
      </c>
      <c r="F82" s="1">
        <v>45870</v>
      </c>
      <c r="G82">
        <v>7</v>
      </c>
      <c r="H82" t="s">
        <v>210</v>
      </c>
      <c r="I82">
        <v>32</v>
      </c>
      <c r="J82" t="s">
        <v>7</v>
      </c>
      <c r="K82" t="s">
        <v>12</v>
      </c>
      <c r="L82" t="s">
        <v>9</v>
      </c>
      <c r="M82" s="2">
        <v>700</v>
      </c>
      <c r="N82" t="s">
        <v>6</v>
      </c>
      <c r="O82" t="str">
        <f>_xlfn.XLOOKUP(Travel[[#This Row],[Transportation Type]],'Pivot Table'!$Z$3:$Z$9,'Pivot Table'!$AA$3:$AA$9)</f>
        <v>Airway</v>
      </c>
      <c r="P82" s="2">
        <v>800</v>
      </c>
      <c r="Q82" s="2">
        <f t="shared" si="2"/>
        <v>1500</v>
      </c>
    </row>
    <row r="83" spans="1:17" x14ac:dyDescent="0.4">
      <c r="A83">
        <v>83</v>
      </c>
      <c r="B83" t="s">
        <v>35</v>
      </c>
      <c r="C83" t="s">
        <v>45</v>
      </c>
      <c r="D83" t="str">
        <f>_xlfn.XLOOKUP(Travel[[#This Row],[Destination Country]],'Pivot Table'!$Z$15:$Z$38,'Pivot Table'!$AA$15:$AA$38)</f>
        <v>Europe</v>
      </c>
      <c r="E83" s="1">
        <v>45762</v>
      </c>
      <c r="F83" s="1">
        <v>45769</v>
      </c>
      <c r="G83">
        <v>7</v>
      </c>
      <c r="H83" t="s">
        <v>211</v>
      </c>
      <c r="I83">
        <v>41</v>
      </c>
      <c r="J83" t="s">
        <v>3</v>
      </c>
      <c r="K83" t="s">
        <v>4</v>
      </c>
      <c r="L83" t="s">
        <v>5</v>
      </c>
      <c r="M83" s="2">
        <v>100</v>
      </c>
      <c r="N83" t="s">
        <v>33</v>
      </c>
      <c r="O83" t="str">
        <f>_xlfn.XLOOKUP(Travel[[#This Row],[Transportation Type]],'Pivot Table'!$Z$3:$Z$9,'Pivot Table'!$AA$3:$AA$9)</f>
        <v>Roadway</v>
      </c>
      <c r="P83" s="2">
        <v>50</v>
      </c>
      <c r="Q83" s="2">
        <f t="shared" si="2"/>
        <v>150</v>
      </c>
    </row>
    <row r="84" spans="1:17" x14ac:dyDescent="0.4">
      <c r="A84">
        <v>84</v>
      </c>
      <c r="B84" t="s">
        <v>28</v>
      </c>
      <c r="C84" t="s">
        <v>94</v>
      </c>
      <c r="D84" t="str">
        <f>_xlfn.XLOOKUP(Travel[[#This Row],[Destination Country]],'Pivot Table'!$Z$15:$Z$38,'Pivot Table'!$AA$15:$AA$38)</f>
        <v>Europe</v>
      </c>
      <c r="E84" s="1">
        <v>44362</v>
      </c>
      <c r="F84" s="1">
        <v>44367</v>
      </c>
      <c r="G84">
        <v>6</v>
      </c>
      <c r="H84" t="s">
        <v>138</v>
      </c>
      <c r="I84">
        <v>35</v>
      </c>
      <c r="J84" t="s">
        <v>3</v>
      </c>
      <c r="K84" t="s">
        <v>4</v>
      </c>
      <c r="L84" t="s">
        <v>5</v>
      </c>
      <c r="M84" s="2">
        <v>800</v>
      </c>
      <c r="N84" t="s">
        <v>6</v>
      </c>
      <c r="O84" t="str">
        <f>_xlfn.XLOOKUP(Travel[[#This Row],[Transportation Type]],'Pivot Table'!$Z$3:$Z$9,'Pivot Table'!$AA$3:$AA$9)</f>
        <v>Airway</v>
      </c>
      <c r="P84" s="2">
        <v>500</v>
      </c>
      <c r="Q84" s="2">
        <f t="shared" si="2"/>
        <v>1300</v>
      </c>
    </row>
    <row r="85" spans="1:17" x14ac:dyDescent="0.4">
      <c r="A85">
        <v>85</v>
      </c>
      <c r="B85" t="s">
        <v>31</v>
      </c>
      <c r="C85" t="s">
        <v>41</v>
      </c>
      <c r="D85" t="str">
        <f>_xlfn.XLOOKUP(Travel[[#This Row],[Destination Country]],'Pivot Table'!$Z$15:$Z$38,'Pivot Table'!$AA$15:$AA$38)</f>
        <v>Asia</v>
      </c>
      <c r="E85" s="1">
        <v>44203</v>
      </c>
      <c r="F85" s="1">
        <v>44476</v>
      </c>
      <c r="G85">
        <v>10</v>
      </c>
      <c r="H85" t="s">
        <v>203</v>
      </c>
      <c r="I85">
        <v>28</v>
      </c>
      <c r="J85" t="s">
        <v>7</v>
      </c>
      <c r="K85" t="s">
        <v>10</v>
      </c>
      <c r="L85" t="s">
        <v>14</v>
      </c>
      <c r="M85" s="2">
        <v>500</v>
      </c>
      <c r="N85" t="s">
        <v>15</v>
      </c>
      <c r="O85" t="str">
        <f>_xlfn.XLOOKUP(Travel[[#This Row],[Transportation Type]],'Pivot Table'!$Z$3:$Z$9,'Pivot Table'!$AA$3:$AA$9)</f>
        <v>Railway</v>
      </c>
      <c r="P85" s="2">
        <v>300</v>
      </c>
      <c r="Q85" s="2">
        <f t="shared" si="2"/>
        <v>800</v>
      </c>
    </row>
    <row r="86" spans="1:17" x14ac:dyDescent="0.4">
      <c r="A86">
        <v>86</v>
      </c>
      <c r="B86" t="s">
        <v>29</v>
      </c>
      <c r="C86" t="s">
        <v>92</v>
      </c>
      <c r="D86" t="str">
        <f>_xlfn.XLOOKUP(Travel[[#This Row],[Destination Country]],'Pivot Table'!$Z$15:$Z$38,'Pivot Table'!$AA$15:$AA$38)</f>
        <v>Asia</v>
      </c>
      <c r="E86" s="1">
        <v>44477</v>
      </c>
      <c r="F86" s="1">
        <v>44428</v>
      </c>
      <c r="G86">
        <v>11</v>
      </c>
      <c r="H86" t="s">
        <v>163</v>
      </c>
      <c r="I86">
        <v>42</v>
      </c>
      <c r="J86" t="s">
        <v>7</v>
      </c>
      <c r="K86" t="s">
        <v>22</v>
      </c>
      <c r="L86" t="s">
        <v>9</v>
      </c>
      <c r="M86" s="2">
        <v>1200</v>
      </c>
      <c r="N86" t="s">
        <v>6</v>
      </c>
      <c r="O86" t="str">
        <f>_xlfn.XLOOKUP(Travel[[#This Row],[Transportation Type]],'Pivot Table'!$Z$3:$Z$9,'Pivot Table'!$AA$3:$AA$9)</f>
        <v>Airway</v>
      </c>
      <c r="P86" s="2">
        <v>700</v>
      </c>
      <c r="Q86" s="2">
        <f t="shared" si="2"/>
        <v>1900</v>
      </c>
    </row>
    <row r="87" spans="1:17" x14ac:dyDescent="0.4">
      <c r="A87">
        <v>87</v>
      </c>
      <c r="B87" t="s">
        <v>34</v>
      </c>
      <c r="C87" t="s">
        <v>95</v>
      </c>
      <c r="D87" t="str">
        <f>_xlfn.XLOOKUP(Travel[[#This Row],[Destination Country]],'Pivot Table'!$Z$15:$Z$38,'Pivot Table'!$AA$15:$AA$38)</f>
        <v>Australia</v>
      </c>
      <c r="E87" s="1">
        <v>44205</v>
      </c>
      <c r="F87" s="1">
        <v>44478</v>
      </c>
      <c r="G87">
        <v>9</v>
      </c>
      <c r="H87" t="s">
        <v>140</v>
      </c>
      <c r="I87">
        <v>45</v>
      </c>
      <c r="J87" t="s">
        <v>3</v>
      </c>
      <c r="K87" t="s">
        <v>16</v>
      </c>
      <c r="L87" t="s">
        <v>5</v>
      </c>
      <c r="M87" s="2">
        <v>900</v>
      </c>
      <c r="N87" t="s">
        <v>6</v>
      </c>
      <c r="O87" t="str">
        <f>_xlfn.XLOOKUP(Travel[[#This Row],[Transportation Type]],'Pivot Table'!$Z$3:$Z$9,'Pivot Table'!$AA$3:$AA$9)</f>
        <v>Airway</v>
      </c>
      <c r="P87" s="2">
        <v>600</v>
      </c>
      <c r="Q87" s="2">
        <f t="shared" si="2"/>
        <v>1500</v>
      </c>
    </row>
    <row r="88" spans="1:17" x14ac:dyDescent="0.4">
      <c r="A88">
        <v>88</v>
      </c>
      <c r="B88" t="s">
        <v>105</v>
      </c>
      <c r="C88" t="s">
        <v>56</v>
      </c>
      <c r="D88" t="str">
        <f>_xlfn.XLOOKUP(Travel[[#This Row],[Destination Country]],'Pivot Table'!$Z$15:$Z$38,'Pivot Table'!$AA$15:$AA$38)</f>
        <v>North America</v>
      </c>
      <c r="E88" s="1">
        <v>44484</v>
      </c>
      <c r="F88" s="1">
        <v>44489</v>
      </c>
      <c r="G88">
        <v>6</v>
      </c>
      <c r="H88" t="s">
        <v>144</v>
      </c>
      <c r="I88">
        <v>31</v>
      </c>
      <c r="J88" t="s">
        <v>7</v>
      </c>
      <c r="K88" t="s">
        <v>4</v>
      </c>
      <c r="L88" t="s">
        <v>14</v>
      </c>
      <c r="M88" s="2">
        <v>700</v>
      </c>
      <c r="N88" t="s">
        <v>106</v>
      </c>
      <c r="O88" t="str">
        <f>_xlfn.XLOOKUP(Travel[[#This Row],[Transportation Type]],'Pivot Table'!$Z$3:$Z$9,'Pivot Table'!$AA$3:$AA$9)</f>
        <v>Roadway</v>
      </c>
      <c r="P88" s="2">
        <v>200</v>
      </c>
      <c r="Q88" s="2">
        <f t="shared" si="2"/>
        <v>900</v>
      </c>
    </row>
    <row r="89" spans="1:17" x14ac:dyDescent="0.4">
      <c r="A89">
        <v>89</v>
      </c>
      <c r="B89" t="s">
        <v>30</v>
      </c>
      <c r="C89" t="s">
        <v>57</v>
      </c>
      <c r="D89" t="str">
        <f>_xlfn.XLOOKUP(Travel[[#This Row],[Destination Country]],'Pivot Table'!$Z$15:$Z$38,'Pivot Table'!$AA$15:$AA$38)</f>
        <v>Europe</v>
      </c>
      <c r="E89" s="1">
        <v>44520</v>
      </c>
      <c r="F89" s="1">
        <v>44530</v>
      </c>
      <c r="G89">
        <v>11</v>
      </c>
      <c r="H89" t="s">
        <v>158</v>
      </c>
      <c r="I89">
        <v>29</v>
      </c>
      <c r="J89" t="s">
        <v>3</v>
      </c>
      <c r="K89" t="s">
        <v>12</v>
      </c>
      <c r="L89" t="s">
        <v>17</v>
      </c>
      <c r="M89" s="2">
        <v>300</v>
      </c>
      <c r="N89" t="s">
        <v>6</v>
      </c>
      <c r="O89" t="str">
        <f>_xlfn.XLOOKUP(Travel[[#This Row],[Transportation Type]],'Pivot Table'!$Z$3:$Z$9,'Pivot Table'!$AA$3:$AA$9)</f>
        <v>Airway</v>
      </c>
      <c r="P89" s="2">
        <v>400</v>
      </c>
      <c r="Q89" s="2">
        <f t="shared" si="2"/>
        <v>700</v>
      </c>
    </row>
    <row r="90" spans="1:17" x14ac:dyDescent="0.4">
      <c r="A90">
        <v>90</v>
      </c>
      <c r="B90" t="s">
        <v>53</v>
      </c>
      <c r="C90" t="s">
        <v>248</v>
      </c>
      <c r="D90" t="str">
        <f>_xlfn.XLOOKUP(Travel[[#This Row],[Destination Country]],'Pivot Table'!$Z$15:$Z$38,'Pivot Table'!$AA$15:$AA$38)</f>
        <v>Asia</v>
      </c>
      <c r="E90" s="1">
        <v>44562</v>
      </c>
      <c r="F90" s="1">
        <v>44774</v>
      </c>
      <c r="G90">
        <v>8</v>
      </c>
      <c r="H90" t="s">
        <v>212</v>
      </c>
      <c r="I90">
        <v>24</v>
      </c>
      <c r="J90" t="s">
        <v>7</v>
      </c>
      <c r="K90" t="s">
        <v>20</v>
      </c>
      <c r="L90" t="s">
        <v>5</v>
      </c>
      <c r="M90" s="2">
        <v>1000</v>
      </c>
      <c r="N90" t="s">
        <v>6</v>
      </c>
      <c r="O90" t="str">
        <f>_xlfn.XLOOKUP(Travel[[#This Row],[Transportation Type]],'Pivot Table'!$Z$3:$Z$9,'Pivot Table'!$AA$3:$AA$9)</f>
        <v>Airway</v>
      </c>
      <c r="P90" s="2">
        <v>800</v>
      </c>
      <c r="Q90" s="2">
        <f t="shared" si="2"/>
        <v>1800</v>
      </c>
    </row>
    <row r="91" spans="1:17" x14ac:dyDescent="0.4">
      <c r="A91">
        <v>91</v>
      </c>
      <c r="B91" t="s">
        <v>37</v>
      </c>
      <c r="C91" t="s">
        <v>90</v>
      </c>
      <c r="D91" t="str">
        <f>_xlfn.XLOOKUP(Travel[[#This Row],[Destination Country]],'Pivot Table'!$Z$15:$Z$38,'Pivot Table'!$AA$15:$AA$38)</f>
        <v>Asia</v>
      </c>
      <c r="E91" s="1">
        <v>44606</v>
      </c>
      <c r="F91" s="1">
        <v>44612</v>
      </c>
      <c r="G91">
        <v>7</v>
      </c>
      <c r="H91" t="s">
        <v>213</v>
      </c>
      <c r="I91">
        <v>26</v>
      </c>
      <c r="J91" t="s">
        <v>3</v>
      </c>
      <c r="K91" t="s">
        <v>13</v>
      </c>
      <c r="L91" t="s">
        <v>14</v>
      </c>
      <c r="M91" s="2">
        <v>400</v>
      </c>
      <c r="N91" t="s">
        <v>15</v>
      </c>
      <c r="O91" t="str">
        <f>_xlfn.XLOOKUP(Travel[[#This Row],[Transportation Type]],'Pivot Table'!$Z$3:$Z$9,'Pivot Table'!$AA$3:$AA$9)</f>
        <v>Railway</v>
      </c>
      <c r="P91" s="2">
        <v>100</v>
      </c>
      <c r="Q91" s="2">
        <f t="shared" si="2"/>
        <v>500</v>
      </c>
    </row>
    <row r="92" spans="1:17" x14ac:dyDescent="0.4">
      <c r="A92">
        <v>92</v>
      </c>
      <c r="B92" t="s">
        <v>35</v>
      </c>
      <c r="C92" t="s">
        <v>45</v>
      </c>
      <c r="D92" t="str">
        <f>_xlfn.XLOOKUP(Travel[[#This Row],[Destination Country]],'Pivot Table'!$Z$15:$Z$38,'Pivot Table'!$AA$15:$AA$38)</f>
        <v>Europe</v>
      </c>
      <c r="E92" s="1">
        <v>44837</v>
      </c>
      <c r="F92" s="1">
        <v>44640</v>
      </c>
      <c r="G92">
        <v>11</v>
      </c>
      <c r="H92" t="s">
        <v>214</v>
      </c>
      <c r="I92">
        <v>30</v>
      </c>
      <c r="J92" t="s">
        <v>7</v>
      </c>
      <c r="K92" t="s">
        <v>36</v>
      </c>
      <c r="L92" t="s">
        <v>17</v>
      </c>
      <c r="M92" s="2">
        <v>200</v>
      </c>
      <c r="N92" t="s">
        <v>6</v>
      </c>
      <c r="O92" t="str">
        <f>_xlfn.XLOOKUP(Travel[[#This Row],[Transportation Type]],'Pivot Table'!$Z$3:$Z$9,'Pivot Table'!$AA$3:$AA$9)</f>
        <v>Airway</v>
      </c>
      <c r="P92" s="2">
        <v>350</v>
      </c>
      <c r="Q92" s="2">
        <f t="shared" si="2"/>
        <v>550</v>
      </c>
    </row>
    <row r="93" spans="1:17" x14ac:dyDescent="0.4">
      <c r="A93">
        <v>93</v>
      </c>
      <c r="B93" t="s">
        <v>29</v>
      </c>
      <c r="C93" t="s">
        <v>92</v>
      </c>
      <c r="D93" t="str">
        <f>_xlfn.XLOOKUP(Travel[[#This Row],[Destination Country]],'Pivot Table'!$Z$15:$Z$38,'Pivot Table'!$AA$15:$AA$38)</f>
        <v>Asia</v>
      </c>
      <c r="E93" s="1">
        <v>44666</v>
      </c>
      <c r="F93" s="1">
        <v>44676</v>
      </c>
      <c r="G93">
        <v>11</v>
      </c>
      <c r="H93" t="s">
        <v>215</v>
      </c>
      <c r="I93">
        <v>33</v>
      </c>
      <c r="J93" t="s">
        <v>3</v>
      </c>
      <c r="K93" t="s">
        <v>54</v>
      </c>
      <c r="L93" t="s">
        <v>11</v>
      </c>
      <c r="M93" s="2">
        <v>1500</v>
      </c>
      <c r="N93" t="s">
        <v>106</v>
      </c>
      <c r="O93" t="str">
        <f>_xlfn.XLOOKUP(Travel[[#This Row],[Transportation Type]],'Pivot Table'!$Z$3:$Z$9,'Pivot Table'!$AA$3:$AA$9)</f>
        <v>Roadway</v>
      </c>
      <c r="P93" s="2">
        <v>300</v>
      </c>
      <c r="Q93" s="2">
        <f t="shared" si="2"/>
        <v>1800</v>
      </c>
    </row>
    <row r="94" spans="1:17" x14ac:dyDescent="0.4">
      <c r="A94">
        <v>94</v>
      </c>
      <c r="B94" t="s">
        <v>55</v>
      </c>
      <c r="C94" t="s">
        <v>249</v>
      </c>
      <c r="D94" t="str">
        <f>_xlfn.XLOOKUP(Travel[[#This Row],[Destination Country]],'Pivot Table'!$Z$15:$Z$38,'Pivot Table'!$AA$15:$AA$38)</f>
        <v>Asia</v>
      </c>
      <c r="E94" s="1">
        <v>44566</v>
      </c>
      <c r="F94" s="1">
        <v>44839</v>
      </c>
      <c r="G94">
        <v>10</v>
      </c>
      <c r="H94" t="s">
        <v>216</v>
      </c>
      <c r="I94">
        <v>27</v>
      </c>
      <c r="J94" t="s">
        <v>7</v>
      </c>
      <c r="K94" t="s">
        <v>10</v>
      </c>
      <c r="L94" t="s">
        <v>5</v>
      </c>
      <c r="M94" s="2">
        <v>800</v>
      </c>
      <c r="N94" t="s">
        <v>15</v>
      </c>
      <c r="O94" t="str">
        <f>_xlfn.XLOOKUP(Travel[[#This Row],[Transportation Type]],'Pivot Table'!$Z$3:$Z$9,'Pivot Table'!$AA$3:$AA$9)</f>
        <v>Railway</v>
      </c>
      <c r="P94" s="2">
        <v>150</v>
      </c>
      <c r="Q94" s="2">
        <f t="shared" si="2"/>
        <v>950</v>
      </c>
    </row>
    <row r="95" spans="1:17" x14ac:dyDescent="0.4">
      <c r="A95">
        <v>95</v>
      </c>
      <c r="B95" t="s">
        <v>28</v>
      </c>
      <c r="C95" t="s">
        <v>94</v>
      </c>
      <c r="D95" t="str">
        <f>_xlfn.XLOOKUP(Travel[[#This Row],[Destination Country]],'Pivot Table'!$Z$15:$Z$38,'Pivot Table'!$AA$15:$AA$38)</f>
        <v>Europe</v>
      </c>
      <c r="E95" s="1">
        <v>44727</v>
      </c>
      <c r="F95" s="1">
        <v>44732</v>
      </c>
      <c r="G95">
        <v>5</v>
      </c>
      <c r="H95" t="s">
        <v>138</v>
      </c>
      <c r="I95">
        <v>35</v>
      </c>
      <c r="J95" t="s">
        <v>3</v>
      </c>
      <c r="K95" t="s">
        <v>56</v>
      </c>
      <c r="L95" t="s">
        <v>5</v>
      </c>
      <c r="M95" s="2">
        <v>500</v>
      </c>
      <c r="N95" t="s">
        <v>6</v>
      </c>
      <c r="O95" t="str">
        <f>_xlfn.XLOOKUP(Travel[[#This Row],[Transportation Type]],'Pivot Table'!$Z$3:$Z$9,'Pivot Table'!$AA$3:$AA$9)</f>
        <v>Airway</v>
      </c>
      <c r="P95" s="2">
        <v>800</v>
      </c>
      <c r="Q95" s="2">
        <f t="shared" si="2"/>
        <v>1300</v>
      </c>
    </row>
    <row r="96" spans="1:17" x14ac:dyDescent="0.4">
      <c r="A96">
        <v>96</v>
      </c>
      <c r="B96" t="s">
        <v>31</v>
      </c>
      <c r="C96" t="s">
        <v>41</v>
      </c>
      <c r="D96" t="str">
        <f>_xlfn.XLOOKUP(Travel[[#This Row],[Destination Country]],'Pivot Table'!$Z$15:$Z$38,'Pivot Table'!$AA$15:$AA$38)</f>
        <v>Asia</v>
      </c>
      <c r="E96" s="1">
        <v>44570</v>
      </c>
      <c r="F96" s="1">
        <v>44843</v>
      </c>
      <c r="G96">
        <v>9</v>
      </c>
      <c r="H96" t="s">
        <v>217</v>
      </c>
      <c r="I96">
        <v>28</v>
      </c>
      <c r="J96" t="s">
        <v>7</v>
      </c>
      <c r="K96" t="s">
        <v>47</v>
      </c>
      <c r="L96" t="s">
        <v>14</v>
      </c>
      <c r="M96" s="2">
        <v>400</v>
      </c>
      <c r="N96" t="s">
        <v>15</v>
      </c>
      <c r="O96" t="str">
        <f>_xlfn.XLOOKUP(Travel[[#This Row],[Transportation Type]],'Pivot Table'!$Z$3:$Z$9,'Pivot Table'!$AA$3:$AA$9)</f>
        <v>Railway</v>
      </c>
      <c r="P96" s="2">
        <v>200</v>
      </c>
      <c r="Q96" s="2">
        <f t="shared" si="2"/>
        <v>600</v>
      </c>
    </row>
    <row r="97" spans="1:17" x14ac:dyDescent="0.4">
      <c r="A97">
        <v>97</v>
      </c>
      <c r="B97" t="s">
        <v>34</v>
      </c>
      <c r="C97" t="s">
        <v>95</v>
      </c>
      <c r="D97" t="str">
        <f>_xlfn.XLOOKUP(Travel[[#This Row],[Destination Country]],'Pivot Table'!$Z$15:$Z$38,'Pivot Table'!$AA$15:$AA$38)</f>
        <v>Australia</v>
      </c>
      <c r="E97" s="1">
        <v>44888</v>
      </c>
      <c r="F97" s="1">
        <v>44604</v>
      </c>
      <c r="G97">
        <v>9</v>
      </c>
      <c r="H97" t="s">
        <v>140</v>
      </c>
      <c r="I97">
        <v>45</v>
      </c>
      <c r="J97" t="s">
        <v>3</v>
      </c>
      <c r="K97" t="s">
        <v>109</v>
      </c>
      <c r="L97" t="s">
        <v>17</v>
      </c>
      <c r="M97" s="2">
        <v>200</v>
      </c>
      <c r="N97" t="s">
        <v>6</v>
      </c>
      <c r="O97" t="str">
        <f>_xlfn.XLOOKUP(Travel[[#This Row],[Transportation Type]],'Pivot Table'!$Z$3:$Z$9,'Pivot Table'!$AA$3:$AA$9)</f>
        <v>Airway</v>
      </c>
      <c r="P97" s="2">
        <v>1200</v>
      </c>
      <c r="Q97" s="2">
        <f t="shared" si="2"/>
        <v>1400</v>
      </c>
    </row>
    <row r="98" spans="1:17" x14ac:dyDescent="0.4">
      <c r="A98">
        <v>98</v>
      </c>
      <c r="B98" t="s">
        <v>30</v>
      </c>
      <c r="C98" t="s">
        <v>57</v>
      </c>
      <c r="D98" t="str">
        <f>_xlfn.XLOOKUP(Travel[[#This Row],[Destination Country]],'Pivot Table'!$Z$15:$Z$38,'Pivot Table'!$AA$15:$AA$38)</f>
        <v>Europe</v>
      </c>
      <c r="E98" s="1">
        <v>44971</v>
      </c>
      <c r="F98" s="1">
        <v>44976</v>
      </c>
      <c r="G98">
        <v>5</v>
      </c>
      <c r="H98" t="s">
        <v>202</v>
      </c>
      <c r="I98">
        <v>37</v>
      </c>
      <c r="J98" t="s">
        <v>7</v>
      </c>
      <c r="K98" t="s">
        <v>57</v>
      </c>
      <c r="L98" t="s">
        <v>5</v>
      </c>
      <c r="M98" s="2">
        <v>600</v>
      </c>
      <c r="N98" t="s">
        <v>6</v>
      </c>
      <c r="O98" t="str">
        <f>_xlfn.XLOOKUP(Travel[[#This Row],[Transportation Type]],'Pivot Table'!$Z$3:$Z$9,'Pivot Table'!$AA$3:$AA$9)</f>
        <v>Airway</v>
      </c>
      <c r="P98" s="2">
        <v>700</v>
      </c>
      <c r="Q98" s="2">
        <f t="shared" ref="Q98:Q129" si="3">SUM(M98,P98)</f>
        <v>1300</v>
      </c>
    </row>
    <row r="99" spans="1:17" x14ac:dyDescent="0.4">
      <c r="A99">
        <v>99</v>
      </c>
      <c r="B99" t="s">
        <v>105</v>
      </c>
      <c r="C99" t="s">
        <v>56</v>
      </c>
      <c r="D99" t="str">
        <f>_xlfn.XLOOKUP(Travel[[#This Row],[Destination Country]],'Pivot Table'!$Z$15:$Z$38,'Pivot Table'!$AA$15:$AA$38)</f>
        <v>North America</v>
      </c>
      <c r="E99" s="1">
        <v>45143</v>
      </c>
      <c r="F99" s="1">
        <v>45060</v>
      </c>
      <c r="G99">
        <v>6</v>
      </c>
      <c r="H99" t="s">
        <v>218</v>
      </c>
      <c r="I99">
        <v>50</v>
      </c>
      <c r="J99" t="s">
        <v>3</v>
      </c>
      <c r="K99" t="s">
        <v>58</v>
      </c>
      <c r="L99" t="s">
        <v>14</v>
      </c>
      <c r="M99" s="2">
        <v>800</v>
      </c>
      <c r="N99" t="s">
        <v>106</v>
      </c>
      <c r="O99" t="str">
        <f>_xlfn.XLOOKUP(Travel[[#This Row],[Transportation Type]],'Pivot Table'!$Z$3:$Z$9,'Pivot Table'!$AA$3:$AA$9)</f>
        <v>Roadway</v>
      </c>
      <c r="P99" s="2">
        <v>300</v>
      </c>
      <c r="Q99" s="2">
        <f t="shared" si="3"/>
        <v>1100</v>
      </c>
    </row>
    <row r="100" spans="1:17" x14ac:dyDescent="0.4">
      <c r="A100">
        <v>100</v>
      </c>
      <c r="B100" t="s">
        <v>35</v>
      </c>
      <c r="C100" t="s">
        <v>45</v>
      </c>
      <c r="D100" t="str">
        <f>_xlfn.XLOOKUP(Travel[[#This Row],[Destination Country]],'Pivot Table'!$Z$15:$Z$38,'Pivot Table'!$AA$15:$AA$38)</f>
        <v>Europe</v>
      </c>
      <c r="E100" s="1">
        <v>45158</v>
      </c>
      <c r="F100" s="1">
        <v>45165</v>
      </c>
      <c r="G100">
        <v>7</v>
      </c>
      <c r="H100" t="s">
        <v>219</v>
      </c>
      <c r="I100">
        <v>31</v>
      </c>
      <c r="J100" t="s">
        <v>7</v>
      </c>
      <c r="K100" t="s">
        <v>59</v>
      </c>
      <c r="L100" t="s">
        <v>5</v>
      </c>
      <c r="M100" s="2">
        <v>700</v>
      </c>
      <c r="N100" t="s">
        <v>6</v>
      </c>
      <c r="O100" t="str">
        <f>_xlfn.XLOOKUP(Travel[[#This Row],[Transportation Type]],'Pivot Table'!$Z$3:$Z$9,'Pivot Table'!$AA$3:$AA$9)</f>
        <v>Airway</v>
      </c>
      <c r="P100" s="2">
        <v>900</v>
      </c>
      <c r="Q100" s="2">
        <f t="shared" si="3"/>
        <v>1600</v>
      </c>
    </row>
    <row r="101" spans="1:17" x14ac:dyDescent="0.4">
      <c r="A101">
        <v>101</v>
      </c>
      <c r="B101" t="s">
        <v>37</v>
      </c>
      <c r="C101" t="s">
        <v>90</v>
      </c>
      <c r="D101" t="str">
        <f>_xlfn.XLOOKUP(Travel[[#This Row],[Destination Country]],'Pivot Table'!$Z$15:$Z$38,'Pivot Table'!$AA$15:$AA$38)</f>
        <v>Asia</v>
      </c>
      <c r="E101" s="1">
        <v>45271</v>
      </c>
      <c r="F101" s="1">
        <v>45250</v>
      </c>
      <c r="G101">
        <v>8</v>
      </c>
      <c r="H101" t="s">
        <v>220</v>
      </c>
      <c r="I101">
        <v>42</v>
      </c>
      <c r="J101" t="s">
        <v>3</v>
      </c>
      <c r="K101" t="s">
        <v>41</v>
      </c>
      <c r="L101" t="s">
        <v>17</v>
      </c>
      <c r="M101" s="2">
        <v>300</v>
      </c>
      <c r="N101" t="s">
        <v>15</v>
      </c>
      <c r="O101" t="str">
        <f>_xlfn.XLOOKUP(Travel[[#This Row],[Transportation Type]],'Pivot Table'!$Z$3:$Z$9,'Pivot Table'!$AA$3:$AA$9)</f>
        <v>Railway</v>
      </c>
      <c r="P101" s="2">
        <v>100</v>
      </c>
      <c r="Q101" s="2">
        <f t="shared" si="3"/>
        <v>400</v>
      </c>
    </row>
    <row r="102" spans="1:17" x14ac:dyDescent="0.4">
      <c r="A102">
        <v>102</v>
      </c>
      <c r="B102" t="s">
        <v>114</v>
      </c>
      <c r="C102" t="s">
        <v>251</v>
      </c>
      <c r="D102" t="str">
        <f>_xlfn.XLOOKUP(Travel[[#This Row],[Destination Country]],'Pivot Table'!$Z$15:$Z$38,'Pivot Table'!$AA$15:$AA$38)</f>
        <v>Africa</v>
      </c>
      <c r="E102" s="1">
        <v>45444</v>
      </c>
      <c r="F102" s="1">
        <v>45305</v>
      </c>
      <c r="G102">
        <v>8</v>
      </c>
      <c r="H102" t="s">
        <v>163</v>
      </c>
      <c r="I102">
        <v>27</v>
      </c>
      <c r="J102" t="s">
        <v>7</v>
      </c>
      <c r="K102" t="s">
        <v>46</v>
      </c>
      <c r="L102" t="s">
        <v>14</v>
      </c>
      <c r="M102" s="2">
        <v>500</v>
      </c>
      <c r="N102" t="s">
        <v>6</v>
      </c>
      <c r="O102" t="str">
        <f>_xlfn.XLOOKUP(Travel[[#This Row],[Transportation Type]],'Pivot Table'!$Z$3:$Z$9,'Pivot Table'!$AA$3:$AA$9)</f>
        <v>Airway</v>
      </c>
      <c r="P102" s="2">
        <v>1500</v>
      </c>
      <c r="Q102" s="2">
        <f t="shared" si="3"/>
        <v>2000</v>
      </c>
    </row>
    <row r="103" spans="1:17" x14ac:dyDescent="0.4">
      <c r="A103">
        <v>103</v>
      </c>
      <c r="B103" t="s">
        <v>107</v>
      </c>
      <c r="C103" t="s">
        <v>42</v>
      </c>
      <c r="D103" t="str">
        <f>_xlfn.XLOOKUP(Travel[[#This Row],[Destination Country]],'Pivot Table'!$Z$15:$Z$38,'Pivot Table'!$AA$15:$AA$38)</f>
        <v>South America</v>
      </c>
      <c r="E103" s="1">
        <v>45355</v>
      </c>
      <c r="F103" s="1">
        <v>45569</v>
      </c>
      <c r="G103">
        <v>7</v>
      </c>
      <c r="H103" t="s">
        <v>221</v>
      </c>
      <c r="I103">
        <v>33</v>
      </c>
      <c r="J103" t="s">
        <v>3</v>
      </c>
      <c r="K103" t="s">
        <v>42</v>
      </c>
      <c r="L103" t="s">
        <v>5</v>
      </c>
      <c r="M103" s="2">
        <v>900</v>
      </c>
      <c r="N103" t="s">
        <v>106</v>
      </c>
      <c r="O103" t="str">
        <f>_xlfn.XLOOKUP(Travel[[#This Row],[Transportation Type]],'Pivot Table'!$Z$3:$Z$9,'Pivot Table'!$AA$3:$AA$9)</f>
        <v>Roadway</v>
      </c>
      <c r="P103" s="2">
        <v>400</v>
      </c>
      <c r="Q103" s="2">
        <f t="shared" si="3"/>
        <v>1300</v>
      </c>
    </row>
    <row r="104" spans="1:17" x14ac:dyDescent="0.4">
      <c r="A104">
        <v>104</v>
      </c>
      <c r="B104" t="s">
        <v>29</v>
      </c>
      <c r="C104" t="s">
        <v>92</v>
      </c>
      <c r="D104" t="str">
        <f>_xlfn.XLOOKUP(Travel[[#This Row],[Destination Country]],'Pivot Table'!$Z$15:$Z$38,'Pivot Table'!$AA$15:$AA$38)</f>
        <v>Asia</v>
      </c>
      <c r="E104" s="1">
        <v>45495</v>
      </c>
      <c r="F104" s="1">
        <v>45501</v>
      </c>
      <c r="G104">
        <v>6</v>
      </c>
      <c r="H104" t="s">
        <v>222</v>
      </c>
      <c r="I104">
        <v>29</v>
      </c>
      <c r="J104" t="s">
        <v>7</v>
      </c>
      <c r="K104" t="s">
        <v>109</v>
      </c>
      <c r="L104" t="s">
        <v>11</v>
      </c>
      <c r="M104" s="2">
        <v>1200</v>
      </c>
      <c r="N104" t="s">
        <v>6</v>
      </c>
      <c r="O104" t="str">
        <f>_xlfn.XLOOKUP(Travel[[#This Row],[Transportation Type]],'Pivot Table'!$Z$3:$Z$9,'Pivot Table'!$AA$3:$AA$9)</f>
        <v>Airway</v>
      </c>
      <c r="P104" s="2">
        <v>1000</v>
      </c>
      <c r="Q104" s="2">
        <f t="shared" si="3"/>
        <v>2200</v>
      </c>
    </row>
    <row r="105" spans="1:17" x14ac:dyDescent="0.4">
      <c r="A105">
        <v>105</v>
      </c>
      <c r="B105" t="s">
        <v>60</v>
      </c>
      <c r="C105" t="s">
        <v>97</v>
      </c>
      <c r="D105" t="str">
        <f>_xlfn.XLOOKUP(Travel[[#This Row],[Destination Country]],'Pivot Table'!$Z$15:$Z$38,'Pivot Table'!$AA$15:$AA$38)</f>
        <v>Europe</v>
      </c>
      <c r="E105" s="1">
        <v>45575</v>
      </c>
      <c r="F105" s="1">
        <v>45582</v>
      </c>
      <c r="G105">
        <v>7</v>
      </c>
      <c r="H105" t="s">
        <v>223</v>
      </c>
      <c r="I105">
        <v>41</v>
      </c>
      <c r="J105" t="s">
        <v>3</v>
      </c>
      <c r="K105" t="s">
        <v>61</v>
      </c>
      <c r="L105" t="s">
        <v>5</v>
      </c>
      <c r="M105" s="2">
        <v>600</v>
      </c>
      <c r="N105" t="s">
        <v>15</v>
      </c>
      <c r="O105" t="str">
        <f>_xlfn.XLOOKUP(Travel[[#This Row],[Transportation Type]],'Pivot Table'!$Z$3:$Z$9,'Pivot Table'!$AA$3:$AA$9)</f>
        <v>Railway</v>
      </c>
      <c r="P105" s="2">
        <v>150</v>
      </c>
      <c r="Q105" s="2">
        <f t="shared" si="3"/>
        <v>750</v>
      </c>
    </row>
    <row r="106" spans="1:17" x14ac:dyDescent="0.4">
      <c r="A106">
        <v>106</v>
      </c>
      <c r="B106" t="s">
        <v>28</v>
      </c>
      <c r="C106" t="s">
        <v>94</v>
      </c>
      <c r="D106" t="str">
        <f>_xlfn.XLOOKUP(Travel[[#This Row],[Destination Country]],'Pivot Table'!$Z$15:$Z$38,'Pivot Table'!$AA$15:$AA$38)</f>
        <v>Europe</v>
      </c>
      <c r="E106" s="1">
        <v>44696</v>
      </c>
      <c r="F106" s="1">
        <v>44701</v>
      </c>
      <c r="G106">
        <v>5</v>
      </c>
      <c r="H106" t="s">
        <v>138</v>
      </c>
      <c r="I106">
        <v>35</v>
      </c>
      <c r="J106" t="s">
        <v>3</v>
      </c>
      <c r="K106" t="s">
        <v>56</v>
      </c>
      <c r="L106" t="s">
        <v>5</v>
      </c>
      <c r="M106" s="2">
        <v>1000</v>
      </c>
      <c r="N106" t="s">
        <v>6</v>
      </c>
      <c r="O106" t="str">
        <f>_xlfn.XLOOKUP(Travel[[#This Row],[Transportation Type]],'Pivot Table'!$Z$3:$Z$9,'Pivot Table'!$AA$3:$AA$9)</f>
        <v>Airway</v>
      </c>
      <c r="P106" s="2">
        <v>800</v>
      </c>
      <c r="Q106" s="2">
        <f t="shared" si="3"/>
        <v>1800</v>
      </c>
    </row>
    <row r="107" spans="1:17" x14ac:dyDescent="0.4">
      <c r="A107">
        <v>107</v>
      </c>
      <c r="B107" t="s">
        <v>31</v>
      </c>
      <c r="C107" t="s">
        <v>41</v>
      </c>
      <c r="D107" t="str">
        <f>_xlfn.XLOOKUP(Travel[[#This Row],[Destination Country]],'Pivot Table'!$Z$15:$Z$38,'Pivot Table'!$AA$15:$AA$38)</f>
        <v>Asia</v>
      </c>
      <c r="E107" s="1">
        <v>44570</v>
      </c>
      <c r="F107" s="1">
        <v>44843</v>
      </c>
      <c r="G107">
        <v>9</v>
      </c>
      <c r="H107" t="s">
        <v>203</v>
      </c>
      <c r="I107">
        <v>28</v>
      </c>
      <c r="J107" t="s">
        <v>7</v>
      </c>
      <c r="K107" t="s">
        <v>109</v>
      </c>
      <c r="L107" t="s">
        <v>14</v>
      </c>
      <c r="M107" s="2">
        <v>800</v>
      </c>
      <c r="N107" t="s">
        <v>15</v>
      </c>
      <c r="O107" t="str">
        <f>_xlfn.XLOOKUP(Travel[[#This Row],[Transportation Type]],'Pivot Table'!$Z$3:$Z$9,'Pivot Table'!$AA$3:$AA$9)</f>
        <v>Railway</v>
      </c>
      <c r="P107" s="2">
        <v>500</v>
      </c>
      <c r="Q107" s="2">
        <f t="shared" si="3"/>
        <v>1300</v>
      </c>
    </row>
    <row r="108" spans="1:17" x14ac:dyDescent="0.4">
      <c r="A108">
        <v>108</v>
      </c>
      <c r="B108" t="s">
        <v>105</v>
      </c>
      <c r="C108" t="s">
        <v>56</v>
      </c>
      <c r="D108" t="str">
        <f>_xlfn.XLOOKUP(Travel[[#This Row],[Destination Country]],'Pivot Table'!$Z$15:$Z$38,'Pivot Table'!$AA$15:$AA$38)</f>
        <v>North America</v>
      </c>
      <c r="E108" s="1">
        <v>44732</v>
      </c>
      <c r="F108" s="1">
        <v>44737</v>
      </c>
      <c r="G108">
        <v>5</v>
      </c>
      <c r="H108" t="s">
        <v>218</v>
      </c>
      <c r="I108">
        <v>42</v>
      </c>
      <c r="J108" t="s">
        <v>3</v>
      </c>
      <c r="K108" t="s">
        <v>117</v>
      </c>
      <c r="L108" t="s">
        <v>5</v>
      </c>
      <c r="M108" s="2">
        <v>1200</v>
      </c>
      <c r="N108" t="s">
        <v>106</v>
      </c>
      <c r="O108" t="str">
        <f>_xlfn.XLOOKUP(Travel[[#This Row],[Transportation Type]],'Pivot Table'!$Z$3:$Z$9,'Pivot Table'!$AA$3:$AA$9)</f>
        <v>Roadway</v>
      </c>
      <c r="P108" s="2">
        <v>200</v>
      </c>
      <c r="Q108" s="2">
        <f t="shared" si="3"/>
        <v>1400</v>
      </c>
    </row>
    <row r="109" spans="1:17" x14ac:dyDescent="0.4">
      <c r="A109">
        <v>109</v>
      </c>
      <c r="B109" t="s">
        <v>29</v>
      </c>
      <c r="C109" t="s">
        <v>92</v>
      </c>
      <c r="D109" t="str">
        <f>_xlfn.XLOOKUP(Travel[[#This Row],[Destination Country]],'Pivot Table'!$Z$15:$Z$38,'Pivot Table'!$AA$15:$AA$38)</f>
        <v>Asia</v>
      </c>
      <c r="E109" s="1">
        <v>44903</v>
      </c>
      <c r="F109" s="1">
        <v>44793</v>
      </c>
      <c r="G109">
        <v>8</v>
      </c>
      <c r="H109" t="s">
        <v>224</v>
      </c>
      <c r="I109">
        <v>30</v>
      </c>
      <c r="J109" t="s">
        <v>7</v>
      </c>
      <c r="K109" t="s">
        <v>59</v>
      </c>
      <c r="L109" t="s">
        <v>9</v>
      </c>
      <c r="M109" s="2">
        <v>1500</v>
      </c>
      <c r="N109" t="s">
        <v>6</v>
      </c>
      <c r="O109" t="str">
        <f>_xlfn.XLOOKUP(Travel[[#This Row],[Transportation Type]],'Pivot Table'!$Z$3:$Z$9,'Pivot Table'!$AA$3:$AA$9)</f>
        <v>Airway</v>
      </c>
      <c r="P109" s="2">
        <v>1200</v>
      </c>
      <c r="Q109" s="2">
        <f t="shared" si="3"/>
        <v>2700</v>
      </c>
    </row>
    <row r="110" spans="1:17" x14ac:dyDescent="0.4">
      <c r="A110">
        <v>110</v>
      </c>
      <c r="B110" t="s">
        <v>34</v>
      </c>
      <c r="C110" t="s">
        <v>95</v>
      </c>
      <c r="D110" t="str">
        <f>_xlfn.XLOOKUP(Travel[[#This Row],[Destination Country]],'Pivot Table'!$Z$15:$Z$38,'Pivot Table'!$AA$15:$AA$38)</f>
        <v>Australia</v>
      </c>
      <c r="E110" s="1">
        <v>44568</v>
      </c>
      <c r="F110" s="1">
        <v>44841</v>
      </c>
      <c r="G110">
        <v>9</v>
      </c>
      <c r="H110" t="s">
        <v>162</v>
      </c>
      <c r="I110">
        <v>26</v>
      </c>
      <c r="J110" t="s">
        <v>3</v>
      </c>
      <c r="K110" t="s">
        <v>47</v>
      </c>
      <c r="L110" t="s">
        <v>17</v>
      </c>
      <c r="M110" s="2">
        <v>300</v>
      </c>
      <c r="N110" t="s">
        <v>6</v>
      </c>
      <c r="O110" t="str">
        <f>_xlfn.XLOOKUP(Travel[[#This Row],[Transportation Type]],'Pivot Table'!$Z$3:$Z$9,'Pivot Table'!$AA$3:$AA$9)</f>
        <v>Airway</v>
      </c>
      <c r="P110" s="2">
        <v>900</v>
      </c>
      <c r="Q110" s="2">
        <f t="shared" si="3"/>
        <v>1200</v>
      </c>
    </row>
    <row r="111" spans="1:17" x14ac:dyDescent="0.4">
      <c r="A111">
        <v>111</v>
      </c>
      <c r="B111" t="s">
        <v>30</v>
      </c>
      <c r="C111" t="s">
        <v>57</v>
      </c>
      <c r="D111" t="str">
        <f>_xlfn.XLOOKUP(Travel[[#This Row],[Destination Country]],'Pivot Table'!$Z$15:$Z$38,'Pivot Table'!$AA$15:$AA$38)</f>
        <v>Europe</v>
      </c>
      <c r="E111" s="1">
        <v>44840</v>
      </c>
      <c r="F111" s="1">
        <v>44727</v>
      </c>
      <c r="G111">
        <v>5</v>
      </c>
      <c r="H111" t="s">
        <v>225</v>
      </c>
      <c r="I111">
        <v>38</v>
      </c>
      <c r="J111" t="s">
        <v>7</v>
      </c>
      <c r="K111" t="s">
        <v>118</v>
      </c>
      <c r="L111" t="s">
        <v>5</v>
      </c>
      <c r="M111" s="2">
        <v>900</v>
      </c>
      <c r="N111" t="s">
        <v>15</v>
      </c>
      <c r="O111" t="str">
        <f>_xlfn.XLOOKUP(Travel[[#This Row],[Transportation Type]],'Pivot Table'!$Z$3:$Z$9,'Pivot Table'!$AA$3:$AA$9)</f>
        <v>Railway</v>
      </c>
      <c r="P111" s="2">
        <v>150</v>
      </c>
      <c r="Q111" s="2">
        <f t="shared" si="3"/>
        <v>1050</v>
      </c>
    </row>
    <row r="112" spans="1:17" x14ac:dyDescent="0.4">
      <c r="A112">
        <v>112</v>
      </c>
      <c r="B112" t="s">
        <v>62</v>
      </c>
      <c r="C112" t="s">
        <v>90</v>
      </c>
      <c r="D112" t="str">
        <f>_xlfn.XLOOKUP(Travel[[#This Row],[Destination Country]],'Pivot Table'!$Z$15:$Z$38,'Pivot Table'!$AA$15:$AA$38)</f>
        <v>Asia</v>
      </c>
      <c r="E112" s="1">
        <v>44690</v>
      </c>
      <c r="F112" s="1">
        <v>44904</v>
      </c>
      <c r="G112">
        <v>7</v>
      </c>
      <c r="H112" t="s">
        <v>226</v>
      </c>
      <c r="I112">
        <v>45</v>
      </c>
      <c r="J112" t="s">
        <v>3</v>
      </c>
      <c r="K112" t="s">
        <v>63</v>
      </c>
      <c r="L112" t="s">
        <v>11</v>
      </c>
      <c r="M112" s="2">
        <v>2000</v>
      </c>
      <c r="N112" t="s">
        <v>6</v>
      </c>
      <c r="O112" t="str">
        <f>_xlfn.XLOOKUP(Travel[[#This Row],[Transportation Type]],'Pivot Table'!$Z$3:$Z$9,'Pivot Table'!$AA$3:$AA$9)</f>
        <v>Airway</v>
      </c>
      <c r="P112" s="2">
        <v>700</v>
      </c>
      <c r="Q112" s="2">
        <f t="shared" si="3"/>
        <v>2700</v>
      </c>
    </row>
    <row r="113" spans="1:17" x14ac:dyDescent="0.4">
      <c r="A113">
        <v>113</v>
      </c>
      <c r="B113" t="s">
        <v>35</v>
      </c>
      <c r="C113" t="s">
        <v>45</v>
      </c>
      <c r="D113" t="str">
        <f>_xlfn.XLOOKUP(Travel[[#This Row],[Destination Country]],'Pivot Table'!$Z$15:$Z$38,'Pivot Table'!$AA$15:$AA$38)</f>
        <v>Europe</v>
      </c>
      <c r="E113" s="1">
        <v>44566</v>
      </c>
      <c r="F113" s="1">
        <v>44778</v>
      </c>
      <c r="G113">
        <v>7</v>
      </c>
      <c r="H113" t="s">
        <v>227</v>
      </c>
      <c r="I113">
        <v>31</v>
      </c>
      <c r="J113" t="s">
        <v>7</v>
      </c>
      <c r="K113" t="s">
        <v>45</v>
      </c>
      <c r="L113" t="s">
        <v>5</v>
      </c>
      <c r="M113" s="2">
        <v>1100</v>
      </c>
      <c r="N113" t="s">
        <v>15</v>
      </c>
      <c r="O113" t="str">
        <f>_xlfn.XLOOKUP(Travel[[#This Row],[Transportation Type]],'Pivot Table'!$Z$3:$Z$9,'Pivot Table'!$AA$3:$AA$9)</f>
        <v>Railway</v>
      </c>
      <c r="P113" s="2">
        <v>250</v>
      </c>
      <c r="Q113" s="2">
        <f t="shared" si="3"/>
        <v>1350</v>
      </c>
    </row>
    <row r="114" spans="1:17" x14ac:dyDescent="0.4">
      <c r="A114">
        <v>114</v>
      </c>
      <c r="B114" t="s">
        <v>64</v>
      </c>
      <c r="C114" t="s">
        <v>43</v>
      </c>
      <c r="D114" t="str">
        <f>_xlfn.XLOOKUP(Travel[[#This Row],[Destination Country]],'Pivot Table'!$Z$15:$Z$38,'Pivot Table'!$AA$15:$AA$38)</f>
        <v>Europe</v>
      </c>
      <c r="E114" s="1">
        <v>44757</v>
      </c>
      <c r="F114" s="1">
        <v>44764</v>
      </c>
      <c r="G114">
        <v>7</v>
      </c>
      <c r="H114" t="s">
        <v>228</v>
      </c>
      <c r="I114">
        <v>27</v>
      </c>
      <c r="J114" t="s">
        <v>3</v>
      </c>
      <c r="K114" t="s">
        <v>43</v>
      </c>
      <c r="L114" t="s">
        <v>14</v>
      </c>
      <c r="M114" s="2">
        <v>1000</v>
      </c>
      <c r="N114" t="s">
        <v>65</v>
      </c>
      <c r="O114" t="str">
        <f>_xlfn.XLOOKUP(Travel[[#This Row],[Transportation Type]],'Pivot Table'!$Z$3:$Z$9,'Pivot Table'!$AA$3:$AA$9)</f>
        <v>Waterway</v>
      </c>
      <c r="P114" s="2">
        <v>150</v>
      </c>
      <c r="Q114" s="2">
        <f t="shared" si="3"/>
        <v>1150</v>
      </c>
    </row>
    <row r="115" spans="1:17" x14ac:dyDescent="0.4">
      <c r="A115">
        <v>115</v>
      </c>
      <c r="B115" t="s">
        <v>53</v>
      </c>
      <c r="C115" t="s">
        <v>248</v>
      </c>
      <c r="D115" t="str">
        <f>_xlfn.XLOOKUP(Travel[[#This Row],[Destination Country]],'Pivot Table'!$Z$15:$Z$38,'Pivot Table'!$AA$15:$AA$38)</f>
        <v>Asia</v>
      </c>
      <c r="E115" s="1">
        <v>44798</v>
      </c>
      <c r="F115" s="1">
        <v>44803</v>
      </c>
      <c r="G115">
        <v>5</v>
      </c>
      <c r="H115" t="s">
        <v>229</v>
      </c>
      <c r="I115">
        <v>29</v>
      </c>
      <c r="J115" t="s">
        <v>7</v>
      </c>
      <c r="K115" t="s">
        <v>108</v>
      </c>
      <c r="L115" t="s">
        <v>5</v>
      </c>
      <c r="M115" s="2">
        <v>1500</v>
      </c>
      <c r="N115" t="s">
        <v>106</v>
      </c>
      <c r="O115" t="str">
        <f>_xlfn.XLOOKUP(Travel[[#This Row],[Transportation Type]],'Pivot Table'!$Z$3:$Z$9,'Pivot Table'!$AA$3:$AA$9)</f>
        <v>Roadway</v>
      </c>
      <c r="P115" s="2">
        <v>300</v>
      </c>
      <c r="Q115" s="2">
        <f t="shared" si="3"/>
        <v>1800</v>
      </c>
    </row>
    <row r="116" spans="1:17" x14ac:dyDescent="0.4">
      <c r="A116">
        <v>116</v>
      </c>
      <c r="B116" t="s">
        <v>119</v>
      </c>
      <c r="C116" t="s">
        <v>66</v>
      </c>
      <c r="D116" t="str">
        <f>_xlfn.XLOOKUP(Travel[[#This Row],[Destination Country]],'Pivot Table'!$Z$15:$Z$38,'Pivot Table'!$AA$15:$AA$38)</f>
        <v>Asia</v>
      </c>
      <c r="E116" s="1">
        <v>44843</v>
      </c>
      <c r="F116" s="1">
        <v>44819</v>
      </c>
      <c r="G116">
        <v>5</v>
      </c>
      <c r="H116" t="s">
        <v>230</v>
      </c>
      <c r="I116">
        <v>33</v>
      </c>
      <c r="J116" t="s">
        <v>3</v>
      </c>
      <c r="K116" t="s">
        <v>66</v>
      </c>
      <c r="L116" t="s">
        <v>17</v>
      </c>
      <c r="M116" s="2">
        <v>200</v>
      </c>
      <c r="N116" t="s">
        <v>6</v>
      </c>
      <c r="O116" t="str">
        <f>_xlfn.XLOOKUP(Travel[[#This Row],[Transportation Type]],'Pivot Table'!$Z$3:$Z$9,'Pivot Table'!$AA$3:$AA$9)</f>
        <v>Airway</v>
      </c>
      <c r="P116" s="2">
        <v>500</v>
      </c>
      <c r="Q116" s="2">
        <f t="shared" si="3"/>
        <v>700</v>
      </c>
    </row>
    <row r="117" spans="1:17" x14ac:dyDescent="0.4">
      <c r="A117">
        <v>117</v>
      </c>
      <c r="B117" t="s">
        <v>31</v>
      </c>
      <c r="C117" t="s">
        <v>41</v>
      </c>
      <c r="D117" t="str">
        <f>_xlfn.XLOOKUP(Travel[[#This Row],[Destination Country]],'Pivot Table'!$Z$15:$Z$38,'Pivot Table'!$AA$15:$AA$38)</f>
        <v>Asia</v>
      </c>
      <c r="E117" s="1">
        <v>44683</v>
      </c>
      <c r="F117" s="1">
        <v>44606</v>
      </c>
      <c r="G117">
        <v>9</v>
      </c>
      <c r="H117" t="s">
        <v>164</v>
      </c>
      <c r="I117">
        <v>32</v>
      </c>
      <c r="J117" t="s">
        <v>7</v>
      </c>
      <c r="K117" t="s">
        <v>4</v>
      </c>
      <c r="L117" t="s">
        <v>5</v>
      </c>
      <c r="M117" s="2">
        <v>1000</v>
      </c>
      <c r="N117" t="s">
        <v>6</v>
      </c>
      <c r="O117" t="str">
        <f>_xlfn.XLOOKUP(Travel[[#This Row],[Transportation Type]],'Pivot Table'!$Z$3:$Z$9,'Pivot Table'!$AA$3:$AA$9)</f>
        <v>Airway</v>
      </c>
      <c r="P117" s="2">
        <v>700</v>
      </c>
      <c r="Q117" s="2">
        <f t="shared" si="3"/>
        <v>1700</v>
      </c>
    </row>
    <row r="118" spans="1:17" x14ac:dyDescent="0.4">
      <c r="A118">
        <v>118</v>
      </c>
      <c r="B118" t="s">
        <v>28</v>
      </c>
      <c r="C118" t="s">
        <v>94</v>
      </c>
      <c r="D118" t="str">
        <f>_xlfn.XLOOKUP(Travel[[#This Row],[Destination Country]],'Pivot Table'!$Z$15:$Z$38,'Pivot Table'!$AA$15:$AA$38)</f>
        <v>Europe</v>
      </c>
      <c r="E118" s="1">
        <v>44635</v>
      </c>
      <c r="F118" s="1">
        <v>44642</v>
      </c>
      <c r="G118">
        <v>7</v>
      </c>
      <c r="H118" t="s">
        <v>165</v>
      </c>
      <c r="I118">
        <v>47</v>
      </c>
      <c r="J118" t="s">
        <v>3</v>
      </c>
      <c r="K118" t="s">
        <v>8</v>
      </c>
      <c r="L118" t="s">
        <v>5</v>
      </c>
      <c r="M118" s="2">
        <v>1200</v>
      </c>
      <c r="N118" t="s">
        <v>15</v>
      </c>
      <c r="O118" t="str">
        <f>_xlfn.XLOOKUP(Travel[[#This Row],[Transportation Type]],'Pivot Table'!$Z$3:$Z$9,'Pivot Table'!$AA$3:$AA$9)</f>
        <v>Railway</v>
      </c>
      <c r="P118" s="2">
        <v>500</v>
      </c>
      <c r="Q118" s="2">
        <f t="shared" si="3"/>
        <v>1700</v>
      </c>
    </row>
    <row r="119" spans="1:17" x14ac:dyDescent="0.4">
      <c r="A119">
        <v>119</v>
      </c>
      <c r="B119" t="s">
        <v>34</v>
      </c>
      <c r="C119" t="s">
        <v>95</v>
      </c>
      <c r="D119" t="str">
        <f>_xlfn.XLOOKUP(Travel[[#This Row],[Destination Country]],'Pivot Table'!$Z$15:$Z$38,'Pivot Table'!$AA$15:$AA$38)</f>
        <v>Australia</v>
      </c>
      <c r="E119" s="1">
        <v>44566</v>
      </c>
      <c r="F119" s="1">
        <v>44900</v>
      </c>
      <c r="G119">
        <v>11</v>
      </c>
      <c r="H119" t="s">
        <v>231</v>
      </c>
      <c r="I119">
        <v>26</v>
      </c>
      <c r="J119" t="s">
        <v>7</v>
      </c>
      <c r="K119" t="s">
        <v>23</v>
      </c>
      <c r="L119" t="s">
        <v>14</v>
      </c>
      <c r="M119" s="2">
        <v>800</v>
      </c>
      <c r="N119" t="s">
        <v>6</v>
      </c>
      <c r="O119" t="str">
        <f>_xlfn.XLOOKUP(Travel[[#This Row],[Transportation Type]],'Pivot Table'!$Z$3:$Z$9,'Pivot Table'!$AA$3:$AA$9)</f>
        <v>Airway</v>
      </c>
      <c r="P119" s="2">
        <v>1000</v>
      </c>
      <c r="Q119" s="2">
        <f t="shared" si="3"/>
        <v>1800</v>
      </c>
    </row>
    <row r="120" spans="1:17" x14ac:dyDescent="0.4">
      <c r="A120">
        <v>120</v>
      </c>
      <c r="B120" t="s">
        <v>35</v>
      </c>
      <c r="C120" t="s">
        <v>45</v>
      </c>
      <c r="D120" t="str">
        <f>_xlfn.XLOOKUP(Travel[[#This Row],[Destination Country]],'Pivot Table'!$Z$15:$Z$38,'Pivot Table'!$AA$15:$AA$38)</f>
        <v>Europe</v>
      </c>
      <c r="E120" s="1">
        <v>44840</v>
      </c>
      <c r="F120" s="1">
        <v>44729</v>
      </c>
      <c r="G120">
        <v>7</v>
      </c>
      <c r="H120" t="s">
        <v>140</v>
      </c>
      <c r="I120">
        <v>38</v>
      </c>
      <c r="J120" t="s">
        <v>3</v>
      </c>
      <c r="K120" t="s">
        <v>10</v>
      </c>
      <c r="L120" t="s">
        <v>5</v>
      </c>
      <c r="M120" s="2">
        <v>900</v>
      </c>
      <c r="N120" t="s">
        <v>15</v>
      </c>
      <c r="O120" t="str">
        <f>_xlfn.XLOOKUP(Travel[[#This Row],[Transportation Type]],'Pivot Table'!$Z$3:$Z$9,'Pivot Table'!$AA$3:$AA$9)</f>
        <v>Railway</v>
      </c>
      <c r="P120" s="2">
        <v>400</v>
      </c>
      <c r="Q120" s="2">
        <f t="shared" si="3"/>
        <v>1300</v>
      </c>
    </row>
    <row r="121" spans="1:17" x14ac:dyDescent="0.4">
      <c r="A121">
        <v>121</v>
      </c>
      <c r="B121" t="s">
        <v>29</v>
      </c>
      <c r="C121" t="s">
        <v>92</v>
      </c>
      <c r="D121" t="str">
        <f>_xlfn.XLOOKUP(Travel[[#This Row],[Destination Country]],'Pivot Table'!$Z$15:$Z$38,'Pivot Table'!$AA$15:$AA$38)</f>
        <v>Asia</v>
      </c>
      <c r="E121" s="1">
        <v>44762</v>
      </c>
      <c r="F121" s="1">
        <v>44772</v>
      </c>
      <c r="G121">
        <v>10</v>
      </c>
      <c r="H121" t="s">
        <v>232</v>
      </c>
      <c r="I121">
        <v>29</v>
      </c>
      <c r="J121" t="s">
        <v>7</v>
      </c>
      <c r="K121" t="s">
        <v>10</v>
      </c>
      <c r="L121" t="s">
        <v>17</v>
      </c>
      <c r="M121" s="2">
        <v>500</v>
      </c>
      <c r="N121" t="s">
        <v>6</v>
      </c>
      <c r="O121" t="str">
        <f>_xlfn.XLOOKUP(Travel[[#This Row],[Transportation Type]],'Pivot Table'!$Z$3:$Z$9,'Pivot Table'!$AA$3:$AA$9)</f>
        <v>Airway</v>
      </c>
      <c r="P121" s="2">
        <v>800</v>
      </c>
      <c r="Q121" s="2">
        <f t="shared" si="3"/>
        <v>1300</v>
      </c>
    </row>
    <row r="122" spans="1:17" x14ac:dyDescent="0.4">
      <c r="A122">
        <v>122</v>
      </c>
      <c r="B122" t="s">
        <v>71</v>
      </c>
      <c r="C122" t="s">
        <v>98</v>
      </c>
      <c r="D122" t="str">
        <f>_xlfn.XLOOKUP(Travel[[#This Row],[Destination Country]],'Pivot Table'!$Z$15:$Z$38,'Pivot Table'!$AA$15:$AA$38)</f>
        <v>North America</v>
      </c>
      <c r="E122" s="1">
        <v>44781</v>
      </c>
      <c r="F122" s="1">
        <v>44789</v>
      </c>
      <c r="G122">
        <v>8</v>
      </c>
      <c r="H122" t="s">
        <v>233</v>
      </c>
      <c r="I122">
        <v>41</v>
      </c>
      <c r="J122" t="s">
        <v>3</v>
      </c>
      <c r="K122" t="s">
        <v>4</v>
      </c>
      <c r="L122" t="s">
        <v>5</v>
      </c>
      <c r="M122" s="2">
        <v>1300</v>
      </c>
      <c r="N122" t="s">
        <v>6</v>
      </c>
      <c r="O122" t="str">
        <f>_xlfn.XLOOKUP(Travel[[#This Row],[Transportation Type]],'Pivot Table'!$Z$3:$Z$9,'Pivot Table'!$AA$3:$AA$9)</f>
        <v>Airway</v>
      </c>
      <c r="P122" s="2">
        <v>600</v>
      </c>
      <c r="Q122" s="2">
        <f t="shared" si="3"/>
        <v>1900</v>
      </c>
    </row>
    <row r="123" spans="1:17" x14ac:dyDescent="0.4">
      <c r="A123">
        <v>123</v>
      </c>
      <c r="B123" t="s">
        <v>77</v>
      </c>
      <c r="C123" t="s">
        <v>43</v>
      </c>
      <c r="D123" t="str">
        <f>_xlfn.XLOOKUP(Travel[[#This Row],[Destination Country]],'Pivot Table'!$Z$15:$Z$38,'Pivot Table'!$AA$15:$AA$38)</f>
        <v>Europe</v>
      </c>
      <c r="E123" s="1">
        <v>44824</v>
      </c>
      <c r="F123" s="1">
        <v>44834</v>
      </c>
      <c r="G123">
        <v>10</v>
      </c>
      <c r="H123" t="s">
        <v>234</v>
      </c>
      <c r="I123">
        <v>35</v>
      </c>
      <c r="J123" t="s">
        <v>7</v>
      </c>
      <c r="K123" t="s">
        <v>10</v>
      </c>
      <c r="L123" t="s">
        <v>14</v>
      </c>
      <c r="M123" s="2">
        <v>700</v>
      </c>
      <c r="N123" t="s">
        <v>6</v>
      </c>
      <c r="O123" t="str">
        <f>_xlfn.XLOOKUP(Travel[[#This Row],[Transportation Type]],'Pivot Table'!$Z$3:$Z$9,'Pivot Table'!$AA$3:$AA$9)</f>
        <v>Airway</v>
      </c>
      <c r="P123" s="2">
        <v>900</v>
      </c>
      <c r="Q123" s="2">
        <f t="shared" si="3"/>
        <v>1600</v>
      </c>
    </row>
    <row r="124" spans="1:17" x14ac:dyDescent="0.4">
      <c r="A124">
        <v>124</v>
      </c>
      <c r="B124" t="s">
        <v>31</v>
      </c>
      <c r="C124" t="s">
        <v>41</v>
      </c>
      <c r="D124" t="str">
        <f>_xlfn.XLOOKUP(Travel[[#This Row],[Destination Country]],'Pivot Table'!$Z$15:$Z$38,'Pivot Table'!$AA$15:$AA$38)</f>
        <v>Asia</v>
      </c>
      <c r="E124" s="1">
        <v>44691</v>
      </c>
      <c r="F124" s="1">
        <v>44847</v>
      </c>
      <c r="G124">
        <v>8</v>
      </c>
      <c r="H124" t="s">
        <v>235</v>
      </c>
      <c r="I124">
        <v>24</v>
      </c>
      <c r="J124" t="s">
        <v>3</v>
      </c>
      <c r="K124" t="s">
        <v>10</v>
      </c>
      <c r="L124" t="s">
        <v>5</v>
      </c>
      <c r="M124" s="2">
        <v>1200</v>
      </c>
      <c r="N124" t="s">
        <v>6</v>
      </c>
      <c r="O124" t="str">
        <f>_xlfn.XLOOKUP(Travel[[#This Row],[Transportation Type]],'Pivot Table'!$Z$3:$Z$9,'Pivot Table'!$AA$3:$AA$9)</f>
        <v>Airway</v>
      </c>
      <c r="P124" s="2">
        <v>700</v>
      </c>
      <c r="Q124" s="2">
        <f t="shared" si="3"/>
        <v>1900</v>
      </c>
    </row>
    <row r="125" spans="1:17" x14ac:dyDescent="0.4">
      <c r="A125">
        <v>125</v>
      </c>
      <c r="B125" t="s">
        <v>34</v>
      </c>
      <c r="C125" t="s">
        <v>95</v>
      </c>
      <c r="D125" t="str">
        <f>_xlfn.XLOOKUP(Travel[[#This Row],[Destination Country]],'Pivot Table'!$Z$15:$Z$38,'Pivot Table'!$AA$15:$AA$38)</f>
        <v>Australia</v>
      </c>
      <c r="E125" s="1">
        <v>44876</v>
      </c>
      <c r="F125" s="1">
        <v>44886</v>
      </c>
      <c r="G125">
        <v>10</v>
      </c>
      <c r="H125" t="s">
        <v>236</v>
      </c>
      <c r="I125">
        <v>30</v>
      </c>
      <c r="J125" t="s">
        <v>7</v>
      </c>
      <c r="K125" t="s">
        <v>23</v>
      </c>
      <c r="L125" t="s">
        <v>14</v>
      </c>
      <c r="M125" s="2">
        <v>900</v>
      </c>
      <c r="N125" t="s">
        <v>6</v>
      </c>
      <c r="O125" t="str">
        <f>_xlfn.XLOOKUP(Travel[[#This Row],[Transportation Type]],'Pivot Table'!$Z$3:$Z$9,'Pivot Table'!$AA$3:$AA$9)</f>
        <v>Airway</v>
      </c>
      <c r="P125" s="2">
        <v>1000</v>
      </c>
      <c r="Q125" s="2">
        <f t="shared" si="3"/>
        <v>1900</v>
      </c>
    </row>
    <row r="126" spans="1:17" x14ac:dyDescent="0.4">
      <c r="A126">
        <v>126</v>
      </c>
      <c r="B126" t="s">
        <v>28</v>
      </c>
      <c r="C126" t="s">
        <v>94</v>
      </c>
      <c r="D126" t="str">
        <f>_xlfn.XLOOKUP(Travel[[#This Row],[Destination Country]],'Pivot Table'!$Z$15:$Z$38,'Pivot Table'!$AA$15:$AA$38)</f>
        <v>Europe</v>
      </c>
      <c r="E126" s="1">
        <v>44919</v>
      </c>
      <c r="F126" s="1">
        <v>44927</v>
      </c>
      <c r="G126">
        <v>8</v>
      </c>
      <c r="H126" t="s">
        <v>237</v>
      </c>
      <c r="I126">
        <v>28</v>
      </c>
      <c r="J126" t="s">
        <v>3</v>
      </c>
      <c r="K126" t="s">
        <v>4</v>
      </c>
      <c r="L126" t="s">
        <v>17</v>
      </c>
      <c r="M126" s="2">
        <v>400</v>
      </c>
      <c r="N126" t="s">
        <v>6</v>
      </c>
      <c r="O126" t="str">
        <f>_xlfn.XLOOKUP(Travel[[#This Row],[Transportation Type]],'Pivot Table'!$Z$3:$Z$9,'Pivot Table'!$AA$3:$AA$9)</f>
        <v>Airway</v>
      </c>
      <c r="P126" s="2">
        <v>700</v>
      </c>
      <c r="Q126" s="2">
        <f t="shared" si="3"/>
        <v>1100</v>
      </c>
    </row>
    <row r="127" spans="1:17" x14ac:dyDescent="0.4">
      <c r="A127">
        <v>127</v>
      </c>
      <c r="B127" t="s">
        <v>29</v>
      </c>
      <c r="C127" t="s">
        <v>92</v>
      </c>
      <c r="D127" t="str">
        <f>_xlfn.XLOOKUP(Travel[[#This Row],[Destination Country]],'Pivot Table'!$Z$15:$Z$38,'Pivot Table'!$AA$15:$AA$38)</f>
        <v>Asia</v>
      </c>
      <c r="E127" s="1">
        <v>45201</v>
      </c>
      <c r="F127" s="1">
        <v>45340</v>
      </c>
      <c r="G127">
        <v>8</v>
      </c>
      <c r="H127" t="s">
        <v>238</v>
      </c>
      <c r="I127">
        <v>33</v>
      </c>
      <c r="J127" t="s">
        <v>7</v>
      </c>
      <c r="K127" t="s">
        <v>8</v>
      </c>
      <c r="L127" t="s">
        <v>5</v>
      </c>
      <c r="M127" s="2">
        <v>800</v>
      </c>
      <c r="N127" t="s">
        <v>6</v>
      </c>
      <c r="O127" t="str">
        <f>_xlfn.XLOOKUP(Travel[[#This Row],[Transportation Type]],'Pivot Table'!$Z$3:$Z$9,'Pivot Table'!$AA$3:$AA$9)</f>
        <v>Airway</v>
      </c>
      <c r="P127" s="2">
        <v>800</v>
      </c>
      <c r="Q127" s="2">
        <f t="shared" si="3"/>
        <v>1600</v>
      </c>
    </row>
    <row r="128" spans="1:17" x14ac:dyDescent="0.4">
      <c r="A128">
        <v>128</v>
      </c>
      <c r="B128" t="s">
        <v>28</v>
      </c>
      <c r="C128" t="s">
        <v>94</v>
      </c>
      <c r="D128" t="str">
        <f>_xlfn.XLOOKUP(Travel[[#This Row],[Destination Country]],'Pivot Table'!$Z$15:$Z$38,'Pivot Table'!$AA$15:$AA$38)</f>
        <v>Europe</v>
      </c>
      <c r="E128" s="1">
        <v>44931</v>
      </c>
      <c r="F128" s="1">
        <v>45112</v>
      </c>
      <c r="G128">
        <v>6</v>
      </c>
      <c r="H128" t="s">
        <v>239</v>
      </c>
      <c r="I128">
        <v>35</v>
      </c>
      <c r="J128" t="s">
        <v>3</v>
      </c>
      <c r="K128" t="s">
        <v>4</v>
      </c>
      <c r="L128" t="s">
        <v>5</v>
      </c>
      <c r="M128" s="2">
        <v>5000</v>
      </c>
      <c r="N128" t="s">
        <v>6</v>
      </c>
      <c r="O128" t="str">
        <f>_xlfn.XLOOKUP(Travel[[#This Row],[Transportation Type]],'Pivot Table'!$Z$3:$Z$9,'Pivot Table'!$AA$3:$AA$9)</f>
        <v>Airway</v>
      </c>
      <c r="P128" s="2">
        <v>1000</v>
      </c>
      <c r="Q128" s="2">
        <f t="shared" si="3"/>
        <v>6000</v>
      </c>
    </row>
    <row r="129" spans="1:17" x14ac:dyDescent="0.4">
      <c r="A129">
        <v>129</v>
      </c>
      <c r="B129" t="s">
        <v>31</v>
      </c>
      <c r="C129" t="s">
        <v>41</v>
      </c>
      <c r="D129" t="str">
        <f>_xlfn.XLOOKUP(Travel[[#This Row],[Destination Country]],'Pivot Table'!$Z$15:$Z$38,'Pivot Table'!$AA$15:$AA$38)</f>
        <v>Asia</v>
      </c>
      <c r="E129" s="1">
        <v>45061</v>
      </c>
      <c r="F129" s="1">
        <v>45068</v>
      </c>
      <c r="G129">
        <v>7</v>
      </c>
      <c r="H129" t="s">
        <v>240</v>
      </c>
      <c r="I129">
        <v>28</v>
      </c>
      <c r="J129" t="s">
        <v>7</v>
      </c>
      <c r="K129" t="s">
        <v>12</v>
      </c>
      <c r="L129" t="s">
        <v>14</v>
      </c>
      <c r="M129" s="2">
        <v>7000</v>
      </c>
      <c r="N129" t="s">
        <v>15</v>
      </c>
      <c r="O129" t="str">
        <f>_xlfn.XLOOKUP(Travel[[#This Row],[Transportation Type]],'Pivot Table'!$Z$3:$Z$9,'Pivot Table'!$AA$3:$AA$9)</f>
        <v>Railway</v>
      </c>
      <c r="P129" s="2">
        <v>1500</v>
      </c>
      <c r="Q129" s="2">
        <f t="shared" si="3"/>
        <v>8500</v>
      </c>
    </row>
    <row r="130" spans="1:17" x14ac:dyDescent="0.4">
      <c r="A130">
        <v>130</v>
      </c>
      <c r="B130" t="s">
        <v>114</v>
      </c>
      <c r="C130" t="s">
        <v>251</v>
      </c>
      <c r="D130" t="str">
        <f>_xlfn.XLOOKUP(Travel[[#This Row],[Destination Country]],'Pivot Table'!$Z$15:$Z$38,'Pivot Table'!$AA$15:$AA$38)</f>
        <v>Africa</v>
      </c>
      <c r="E130" s="1">
        <v>44932</v>
      </c>
      <c r="F130" s="1">
        <v>45205</v>
      </c>
      <c r="G130">
        <v>9</v>
      </c>
      <c r="H130" t="s">
        <v>241</v>
      </c>
      <c r="I130">
        <v>45</v>
      </c>
      <c r="J130" t="s">
        <v>3</v>
      </c>
      <c r="K130" t="s">
        <v>116</v>
      </c>
      <c r="L130" t="s">
        <v>17</v>
      </c>
      <c r="M130" s="2">
        <v>3000</v>
      </c>
      <c r="N130" t="s">
        <v>51</v>
      </c>
      <c r="O130" t="str">
        <f>_xlfn.XLOOKUP(Travel[[#This Row],[Transportation Type]],'Pivot Table'!$Z$3:$Z$9,'Pivot Table'!$AA$3:$AA$9)</f>
        <v>Roadway</v>
      </c>
      <c r="P130" s="2">
        <v>2000</v>
      </c>
      <c r="Q130" s="2">
        <f t="shared" ref="Q130:Q138" si="4">SUM(M130,P130)</f>
        <v>5000</v>
      </c>
    </row>
    <row r="131" spans="1:17" x14ac:dyDescent="0.4">
      <c r="A131">
        <v>131</v>
      </c>
      <c r="B131" t="s">
        <v>34</v>
      </c>
      <c r="C131" t="s">
        <v>95</v>
      </c>
      <c r="D131" t="str">
        <f>_xlfn.XLOOKUP(Travel[[#This Row],[Destination Country]],'Pivot Table'!$Z$15:$Z$38,'Pivot Table'!$AA$15:$AA$38)</f>
        <v>Australia</v>
      </c>
      <c r="E131" s="1">
        <v>45092</v>
      </c>
      <c r="F131" s="1">
        <v>45098</v>
      </c>
      <c r="G131">
        <v>6</v>
      </c>
      <c r="H131" t="s">
        <v>203</v>
      </c>
      <c r="I131">
        <v>31</v>
      </c>
      <c r="J131" t="s">
        <v>7</v>
      </c>
      <c r="K131" t="s">
        <v>16</v>
      </c>
      <c r="L131" t="s">
        <v>5</v>
      </c>
      <c r="M131" s="2">
        <v>6000</v>
      </c>
      <c r="N131" t="s">
        <v>6</v>
      </c>
      <c r="O131" t="str">
        <f>_xlfn.XLOOKUP(Travel[[#This Row],[Transportation Type]],'Pivot Table'!$Z$3:$Z$9,'Pivot Table'!$AA$3:$AA$9)</f>
        <v>Airway</v>
      </c>
      <c r="P131" s="2">
        <v>300</v>
      </c>
      <c r="Q131" s="2">
        <f t="shared" si="4"/>
        <v>6300</v>
      </c>
    </row>
    <row r="132" spans="1:17" x14ac:dyDescent="0.4">
      <c r="A132">
        <v>132</v>
      </c>
      <c r="B132" t="s">
        <v>35</v>
      </c>
      <c r="C132" t="s">
        <v>45</v>
      </c>
      <c r="D132" t="str">
        <f>_xlfn.XLOOKUP(Travel[[#This Row],[Destination Country]],'Pivot Table'!$Z$15:$Z$38,'Pivot Table'!$AA$15:$AA$38)</f>
        <v>Europe</v>
      </c>
      <c r="E132" s="1">
        <v>44933</v>
      </c>
      <c r="F132" s="1">
        <v>45145</v>
      </c>
      <c r="G132">
        <v>7</v>
      </c>
      <c r="H132" t="s">
        <v>162</v>
      </c>
      <c r="I132">
        <v>42</v>
      </c>
      <c r="J132" t="s">
        <v>3</v>
      </c>
      <c r="K132" t="s">
        <v>10</v>
      </c>
      <c r="L132" t="s">
        <v>14</v>
      </c>
      <c r="M132" s="2">
        <v>4000</v>
      </c>
      <c r="N132" t="s">
        <v>15</v>
      </c>
      <c r="O132" t="str">
        <f>_xlfn.XLOOKUP(Travel[[#This Row],[Transportation Type]],'Pivot Table'!$Z$3:$Z$9,'Pivot Table'!$AA$3:$AA$9)</f>
        <v>Railway</v>
      </c>
      <c r="P132" s="2">
        <v>1500</v>
      </c>
      <c r="Q132" s="2">
        <f t="shared" si="4"/>
        <v>5500</v>
      </c>
    </row>
    <row r="133" spans="1:17" x14ac:dyDescent="0.4">
      <c r="A133">
        <v>133</v>
      </c>
      <c r="B133" t="s">
        <v>120</v>
      </c>
      <c r="C133" t="s">
        <v>56</v>
      </c>
      <c r="D133" t="str">
        <f>_xlfn.XLOOKUP(Travel[[#This Row],[Destination Country]],'Pivot Table'!$Z$15:$Z$38,'Pivot Table'!$AA$15:$AA$38)</f>
        <v>North America</v>
      </c>
      <c r="E133" s="1">
        <v>45122</v>
      </c>
      <c r="F133" s="1">
        <v>45129</v>
      </c>
      <c r="G133">
        <v>7</v>
      </c>
      <c r="H133" t="s">
        <v>144</v>
      </c>
      <c r="I133">
        <v>27</v>
      </c>
      <c r="J133" t="s">
        <v>7</v>
      </c>
      <c r="K133" t="s">
        <v>4</v>
      </c>
      <c r="L133" t="s">
        <v>5</v>
      </c>
      <c r="M133" s="2">
        <v>6500</v>
      </c>
      <c r="N133" t="s">
        <v>6</v>
      </c>
      <c r="O133" t="str">
        <f>_xlfn.XLOOKUP(Travel[[#This Row],[Transportation Type]],'Pivot Table'!$Z$3:$Z$9,'Pivot Table'!$AA$3:$AA$9)</f>
        <v>Airway</v>
      </c>
      <c r="P133" s="2">
        <v>500</v>
      </c>
      <c r="Q133" s="2">
        <f t="shared" si="4"/>
        <v>7000</v>
      </c>
    </row>
    <row r="134" spans="1:17" x14ac:dyDescent="0.4">
      <c r="A134">
        <v>134</v>
      </c>
      <c r="B134" t="s">
        <v>107</v>
      </c>
      <c r="C134" t="s">
        <v>42</v>
      </c>
      <c r="D134" t="str">
        <f>_xlfn.XLOOKUP(Travel[[#This Row],[Destination Country]],'Pivot Table'!$Z$15:$Z$38,'Pivot Table'!$AA$15:$AA$38)</f>
        <v>South America</v>
      </c>
      <c r="E134" s="1">
        <v>44934</v>
      </c>
      <c r="F134" s="1">
        <v>45207</v>
      </c>
      <c r="G134">
        <v>9</v>
      </c>
      <c r="H134" t="s">
        <v>242</v>
      </c>
      <c r="I134">
        <v>37</v>
      </c>
      <c r="J134" t="s">
        <v>3</v>
      </c>
      <c r="K134" t="s">
        <v>18</v>
      </c>
      <c r="L134" t="s">
        <v>17</v>
      </c>
      <c r="M134" s="2">
        <v>2500</v>
      </c>
      <c r="N134" t="s">
        <v>51</v>
      </c>
      <c r="O134" t="str">
        <f>_xlfn.XLOOKUP(Travel[[#This Row],[Transportation Type]],'Pivot Table'!$Z$3:$Z$9,'Pivot Table'!$AA$3:$AA$9)</f>
        <v>Roadway</v>
      </c>
      <c r="P134" s="2">
        <v>2000</v>
      </c>
      <c r="Q134" s="2">
        <f t="shared" si="4"/>
        <v>4500</v>
      </c>
    </row>
    <row r="135" spans="1:17" x14ac:dyDescent="0.4">
      <c r="A135">
        <v>135</v>
      </c>
      <c r="B135" t="s">
        <v>76</v>
      </c>
      <c r="C135" t="s">
        <v>47</v>
      </c>
      <c r="D135" t="str">
        <f>_xlfn.XLOOKUP(Travel[[#This Row],[Destination Country]],'Pivot Table'!$Z$15:$Z$38,'Pivot Table'!$AA$15:$AA$38)</f>
        <v>North America</v>
      </c>
      <c r="E135" s="1">
        <v>45153</v>
      </c>
      <c r="F135" s="1">
        <v>45159</v>
      </c>
      <c r="G135">
        <v>6</v>
      </c>
      <c r="H135" t="s">
        <v>243</v>
      </c>
      <c r="I135">
        <v>29</v>
      </c>
      <c r="J135" t="s">
        <v>7</v>
      </c>
      <c r="K135" t="s">
        <v>8</v>
      </c>
      <c r="L135" t="s">
        <v>5</v>
      </c>
      <c r="M135" s="2">
        <v>5000</v>
      </c>
      <c r="N135" t="s">
        <v>6</v>
      </c>
      <c r="O135" t="str">
        <f>_xlfn.XLOOKUP(Travel[[#This Row],[Transportation Type]],'Pivot Table'!$Z$3:$Z$9,'Pivot Table'!$AA$3:$AA$9)</f>
        <v>Airway</v>
      </c>
      <c r="P135" s="2">
        <v>3000</v>
      </c>
      <c r="Q135" s="2">
        <f t="shared" si="4"/>
        <v>8000</v>
      </c>
    </row>
    <row r="136" spans="1:17" x14ac:dyDescent="0.4">
      <c r="A136">
        <v>136</v>
      </c>
      <c r="B136" t="s">
        <v>37</v>
      </c>
      <c r="C136" t="s">
        <v>90</v>
      </c>
      <c r="D136" t="str">
        <f>_xlfn.XLOOKUP(Travel[[#This Row],[Destination Country]],'Pivot Table'!$Z$15:$Z$38,'Pivot Table'!$AA$15:$AA$38)</f>
        <v>Asia</v>
      </c>
      <c r="E136" s="1">
        <v>44935</v>
      </c>
      <c r="F136" s="1">
        <v>45147</v>
      </c>
      <c r="G136">
        <v>7</v>
      </c>
      <c r="H136" t="s">
        <v>244</v>
      </c>
      <c r="I136">
        <v>34</v>
      </c>
      <c r="J136" t="s">
        <v>3</v>
      </c>
      <c r="K136" t="s">
        <v>23</v>
      </c>
      <c r="L136" t="s">
        <v>17</v>
      </c>
      <c r="M136" s="2">
        <v>2000</v>
      </c>
      <c r="N136" t="s">
        <v>15</v>
      </c>
      <c r="O136" t="str">
        <f>_xlfn.XLOOKUP(Travel[[#This Row],[Transportation Type]],'Pivot Table'!$Z$3:$Z$9,'Pivot Table'!$AA$3:$AA$9)</f>
        <v>Railway</v>
      </c>
      <c r="P136" s="2">
        <v>1000</v>
      </c>
      <c r="Q136" s="2">
        <f t="shared" si="4"/>
        <v>3000</v>
      </c>
    </row>
    <row r="137" spans="1:17" x14ac:dyDescent="0.4">
      <c r="A137">
        <v>137</v>
      </c>
      <c r="B137" t="s">
        <v>40</v>
      </c>
      <c r="C137" t="s">
        <v>46</v>
      </c>
      <c r="D137" t="str">
        <f>_xlfn.XLOOKUP(Travel[[#This Row],[Destination Country]],'Pivot Table'!$Z$15:$Z$38,'Pivot Table'!$AA$15:$AA$38)</f>
        <v>Europe</v>
      </c>
      <c r="E137" s="1">
        <v>45184</v>
      </c>
      <c r="F137" s="1">
        <v>45191</v>
      </c>
      <c r="G137">
        <v>7</v>
      </c>
      <c r="H137" t="s">
        <v>245</v>
      </c>
      <c r="I137">
        <v>25</v>
      </c>
      <c r="J137" t="s">
        <v>7</v>
      </c>
      <c r="K137" t="s">
        <v>22</v>
      </c>
      <c r="L137" t="s">
        <v>14</v>
      </c>
      <c r="M137" s="2">
        <v>600</v>
      </c>
      <c r="N137" t="s">
        <v>6</v>
      </c>
      <c r="O137" t="str">
        <f>_xlfn.XLOOKUP(Travel[[#This Row],[Transportation Type]],'Pivot Table'!$Z$3:$Z$9,'Pivot Table'!$AA$3:$AA$9)</f>
        <v>Airway</v>
      </c>
      <c r="P137" s="2">
        <v>300</v>
      </c>
      <c r="Q137" s="2">
        <f t="shared" si="4"/>
        <v>900</v>
      </c>
    </row>
    <row r="138" spans="1:17" x14ac:dyDescent="0.4">
      <c r="A138">
        <v>138</v>
      </c>
      <c r="B138" t="s">
        <v>78</v>
      </c>
      <c r="C138" t="s">
        <v>250</v>
      </c>
      <c r="D138" t="str">
        <f>_xlfn.XLOOKUP(Travel[[#This Row],[Destination Country]],'Pivot Table'!$Z$15:$Z$38,'Pivot Table'!$AA$15:$AA$38)</f>
        <v>Australia</v>
      </c>
      <c r="E138" s="1">
        <v>44936</v>
      </c>
      <c r="F138" s="1">
        <v>45148</v>
      </c>
      <c r="G138">
        <v>7</v>
      </c>
      <c r="H138" t="s">
        <v>246</v>
      </c>
      <c r="I138">
        <v>39</v>
      </c>
      <c r="J138" t="s">
        <v>3</v>
      </c>
      <c r="K138" t="s">
        <v>121</v>
      </c>
      <c r="L138" t="s">
        <v>5</v>
      </c>
      <c r="M138" s="2">
        <v>7000</v>
      </c>
      <c r="N138" t="s">
        <v>15</v>
      </c>
      <c r="O138" t="str">
        <f>_xlfn.XLOOKUP(Travel[[#This Row],[Transportation Type]],'Pivot Table'!$Z$3:$Z$9,'Pivot Table'!$AA$3:$AA$9)</f>
        <v>Railway</v>
      </c>
      <c r="P138" s="2">
        <v>2500</v>
      </c>
      <c r="Q138" s="2">
        <f t="shared" si="4"/>
        <v>9500</v>
      </c>
    </row>
  </sheetData>
  <sheetProtection algorithmName="SHA-512" hashValue="XR0XL8L4FuPL8RsfMp3rZPv4bCUseWEg7lQdXYq8BLyid2/YKnV2px8EU7Am0ly+hceTFjUrLmBRU9chOB5zpQ==" saltValue="krArYpmGTc8WtE+nkyJP8w==" spinCount="100000" sheet="1" objects="1" scenarios="1" selectLockedCells="1" selectUnlockedCells="1"/>
  <conditionalFormatting sqref="C1:D1048576">
    <cfRule type="containsText" dxfId="7" priority="1" operator="containsText" text="NOT_FOUND">
      <formula>NOT(ISERROR(SEARCH("NOT_FOUND",C1)))</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F1F04-2774-480B-AF4C-C9C46C198E63}">
  <sheetPr codeName="Sheet2"/>
  <dimension ref="A1:AA54"/>
  <sheetViews>
    <sheetView zoomScale="49" zoomScaleNormal="65" workbookViewId="0">
      <selection activeCell="Z13" sqref="Z13"/>
    </sheetView>
  </sheetViews>
  <sheetFormatPr defaultRowHeight="14.6" x14ac:dyDescent="0.4"/>
  <cols>
    <col min="1" max="1" width="26.61328125" bestFit="1" customWidth="1"/>
    <col min="2" max="2" width="18" bestFit="1" customWidth="1"/>
    <col min="3" max="3" width="4.4609375" bestFit="1" customWidth="1"/>
    <col min="4" max="4" width="8.53515625" bestFit="1" customWidth="1"/>
    <col min="5" max="5" width="7.15234375" bestFit="1" customWidth="1"/>
    <col min="6" max="6" width="13.765625" bestFit="1" customWidth="1"/>
    <col min="7" max="7" width="13.61328125" bestFit="1" customWidth="1"/>
    <col min="8" max="8" width="10.921875" bestFit="1" customWidth="1"/>
    <col min="9" max="9" width="7" bestFit="1" customWidth="1"/>
    <col min="10" max="10" width="11" bestFit="1" customWidth="1"/>
    <col min="11" max="12" width="15.23046875" bestFit="1" customWidth="1"/>
    <col min="13" max="13" width="17.3828125" bestFit="1" customWidth="1"/>
    <col min="14" max="14" width="6.84375" bestFit="1" customWidth="1"/>
    <col min="15" max="15" width="7.3828125" bestFit="1" customWidth="1"/>
    <col min="16" max="17" width="6.3046875" bestFit="1" customWidth="1"/>
    <col min="18" max="18" width="6.84375" bestFit="1" customWidth="1"/>
    <col min="19" max="20" width="5.3046875" bestFit="1" customWidth="1"/>
    <col min="21" max="21" width="6.84375" bestFit="1" customWidth="1"/>
    <col min="22" max="22" width="10.765625" bestFit="1" customWidth="1"/>
    <col min="23" max="23" width="3.07421875" bestFit="1" customWidth="1"/>
    <col min="24" max="24" width="17.69140625" bestFit="1" customWidth="1"/>
    <col min="25" max="25" width="23.69140625" bestFit="1" customWidth="1"/>
    <col min="26" max="26" width="25" bestFit="1" customWidth="1"/>
    <col min="27" max="27" width="9.3046875" bestFit="1" customWidth="1"/>
    <col min="28" max="28" width="12.765625" bestFit="1" customWidth="1"/>
    <col min="29" max="29" width="11.23046875" bestFit="1" customWidth="1"/>
    <col min="30" max="30" width="8.07421875" bestFit="1" customWidth="1"/>
    <col min="31" max="31" width="14.07421875" bestFit="1" customWidth="1"/>
    <col min="32" max="32" width="7.765625" bestFit="1" customWidth="1"/>
    <col min="33" max="33" width="10.61328125" bestFit="1" customWidth="1"/>
    <col min="34" max="34" width="9.23046875" bestFit="1" customWidth="1"/>
    <col min="35" max="35" width="9.84375" bestFit="1" customWidth="1"/>
    <col min="36" max="36" width="8.921875" bestFit="1" customWidth="1"/>
    <col min="37" max="37" width="2.07421875" bestFit="1" customWidth="1"/>
    <col min="38" max="38" width="3.07421875" bestFit="1" customWidth="1"/>
    <col min="39" max="39" width="11.69140625" bestFit="1" customWidth="1"/>
    <col min="40" max="40" width="11.53515625" bestFit="1" customWidth="1"/>
    <col min="41" max="41" width="2.07421875" bestFit="1" customWidth="1"/>
    <col min="42" max="42" width="14.3828125" bestFit="1" customWidth="1"/>
    <col min="43" max="43" width="7.61328125" bestFit="1" customWidth="1"/>
    <col min="44" max="45" width="2.07421875" bestFit="1" customWidth="1"/>
    <col min="46" max="46" width="10.3828125" bestFit="1" customWidth="1"/>
    <col min="47" max="47" width="11.23046875" bestFit="1" customWidth="1"/>
    <col min="48" max="48" width="14.07421875" bestFit="1" customWidth="1"/>
    <col min="49" max="49" width="8.3828125" bestFit="1" customWidth="1"/>
    <col min="50" max="50" width="11.15234375" bestFit="1" customWidth="1"/>
    <col min="51" max="51" width="10.3046875" bestFit="1" customWidth="1"/>
    <col min="52" max="52" width="13.15234375" bestFit="1" customWidth="1"/>
    <col min="53" max="53" width="9" bestFit="1" customWidth="1"/>
    <col min="54" max="56" width="2.07421875" bestFit="1" customWidth="1"/>
    <col min="57" max="57" width="3.07421875" bestFit="1" customWidth="1"/>
    <col min="58" max="58" width="11.765625" bestFit="1" customWidth="1"/>
    <col min="59" max="59" width="11.921875" bestFit="1" customWidth="1"/>
    <col min="60" max="60" width="14.84375" bestFit="1" customWidth="1"/>
    <col min="61" max="61" width="11.765625" bestFit="1" customWidth="1"/>
    <col min="62" max="62" width="14.61328125" bestFit="1" customWidth="1"/>
    <col min="63" max="63" width="10.3046875" bestFit="1" customWidth="1"/>
    <col min="64" max="65" width="2.07421875" bestFit="1" customWidth="1"/>
    <col min="66" max="66" width="3.07421875" bestFit="1" customWidth="1"/>
    <col min="67" max="67" width="13.15234375" bestFit="1" customWidth="1"/>
    <col min="68" max="68" width="13.4609375" bestFit="1" customWidth="1"/>
    <col min="69" max="69" width="16.3828125" bestFit="1" customWidth="1"/>
    <col min="70" max="70" width="6.765625" bestFit="1" customWidth="1"/>
    <col min="71" max="74" width="2.07421875" bestFit="1" customWidth="1"/>
    <col min="75" max="75" width="9.53515625" bestFit="1" customWidth="1"/>
    <col min="76" max="76" width="12.921875" bestFit="1" customWidth="1"/>
    <col min="77" max="77" width="15.765625" bestFit="1" customWidth="1"/>
    <col min="78" max="78" width="8.61328125" bestFit="1" customWidth="1"/>
    <col min="79" max="79" width="2.07421875" bestFit="1" customWidth="1"/>
    <col min="80" max="80" width="11.3828125" bestFit="1" customWidth="1"/>
    <col min="81" max="81" width="13.53515625" bestFit="1" customWidth="1"/>
    <col min="82" max="82" width="2.07421875" bestFit="1" customWidth="1"/>
    <col min="83" max="83" width="16.3828125" bestFit="1" customWidth="1"/>
    <col min="84" max="84" width="7.61328125" bestFit="1" customWidth="1"/>
    <col min="85" max="86" width="2.07421875" bestFit="1" customWidth="1"/>
    <col min="87" max="87" width="3.07421875" bestFit="1" customWidth="1"/>
    <col min="88" max="88" width="10.4609375" bestFit="1" customWidth="1"/>
    <col min="89" max="89" width="10.23046875" bestFit="1" customWidth="1"/>
    <col min="90" max="90" width="2.07421875" bestFit="1" customWidth="1"/>
    <col min="91" max="91" width="13.07421875" bestFit="1" customWidth="1"/>
    <col min="92" max="92" width="7.3046875" bestFit="1" customWidth="1"/>
    <col min="93" max="93" width="3.07421875" bestFit="1" customWidth="1"/>
    <col min="94" max="94" width="10.07421875" bestFit="1" customWidth="1"/>
    <col min="95" max="95" width="8.69140625" bestFit="1" customWidth="1"/>
    <col min="96" max="97" width="2.07421875" bestFit="1" customWidth="1"/>
    <col min="98" max="100" width="3.07421875" bestFit="1" customWidth="1"/>
    <col min="101" max="101" width="11.4609375" bestFit="1" customWidth="1"/>
    <col min="102" max="102" width="7.765625" bestFit="1" customWidth="1"/>
    <col min="103" max="104" width="2.07421875" bestFit="1" customWidth="1"/>
    <col min="105" max="105" width="3.07421875" bestFit="1" customWidth="1"/>
    <col min="106" max="106" width="10.53515625" bestFit="1" customWidth="1"/>
    <col min="107" max="107" width="11.61328125" bestFit="1" customWidth="1"/>
    <col min="108" max="108" width="2.07421875" bestFit="1" customWidth="1"/>
    <col min="109" max="109" width="14.4609375" bestFit="1" customWidth="1"/>
    <col min="110" max="110" width="10.69140625" bestFit="1" customWidth="1"/>
  </cols>
  <sheetData>
    <row r="1" spans="1:27" x14ac:dyDescent="0.4">
      <c r="Z1" s="10" t="s">
        <v>252</v>
      </c>
    </row>
    <row r="3" spans="1:27" x14ac:dyDescent="0.4">
      <c r="A3" s="3" t="s">
        <v>67</v>
      </c>
      <c r="B3" t="s">
        <v>82</v>
      </c>
      <c r="Z3" t="s">
        <v>33</v>
      </c>
      <c r="AA3" t="s">
        <v>84</v>
      </c>
    </row>
    <row r="4" spans="1:27" x14ac:dyDescent="0.4">
      <c r="A4" s="4" t="s">
        <v>87</v>
      </c>
      <c r="B4">
        <v>57850</v>
      </c>
      <c r="L4" s="3" t="s">
        <v>79</v>
      </c>
      <c r="M4" t="s">
        <v>137</v>
      </c>
      <c r="Z4" t="s">
        <v>51</v>
      </c>
      <c r="AA4" t="s">
        <v>84</v>
      </c>
    </row>
    <row r="5" spans="1:27" x14ac:dyDescent="0.4">
      <c r="A5" s="4" t="s">
        <v>86</v>
      </c>
      <c r="B5">
        <v>12770</v>
      </c>
      <c r="Z5" t="s">
        <v>106</v>
      </c>
      <c r="AA5" t="s">
        <v>84</v>
      </c>
    </row>
    <row r="6" spans="1:27" x14ac:dyDescent="0.4">
      <c r="A6" s="4" t="s">
        <v>84</v>
      </c>
      <c r="B6">
        <v>8625</v>
      </c>
      <c r="L6" s="3" t="s">
        <v>134</v>
      </c>
      <c r="M6" s="3" t="s">
        <v>135</v>
      </c>
      <c r="Z6" t="s">
        <v>65</v>
      </c>
      <c r="AA6" t="s">
        <v>85</v>
      </c>
    </row>
    <row r="7" spans="1:27" x14ac:dyDescent="0.4">
      <c r="A7" s="4" t="s">
        <v>85</v>
      </c>
      <c r="B7">
        <v>150</v>
      </c>
      <c r="L7" s="3" t="s">
        <v>67</v>
      </c>
      <c r="M7">
        <v>5</v>
      </c>
      <c r="N7">
        <v>6</v>
      </c>
      <c r="O7">
        <v>7</v>
      </c>
      <c r="P7">
        <v>8</v>
      </c>
      <c r="Q7">
        <v>9</v>
      </c>
      <c r="R7">
        <v>10</v>
      </c>
      <c r="S7">
        <v>11</v>
      </c>
      <c r="T7">
        <v>13</v>
      </c>
      <c r="U7">
        <v>14</v>
      </c>
      <c r="V7" t="s">
        <v>68</v>
      </c>
      <c r="Z7" t="s">
        <v>6</v>
      </c>
      <c r="AA7" t="s">
        <v>87</v>
      </c>
    </row>
    <row r="8" spans="1:27" x14ac:dyDescent="0.4">
      <c r="A8" s="4" t="s">
        <v>68</v>
      </c>
      <c r="B8">
        <v>79395</v>
      </c>
      <c r="L8" s="4" t="s">
        <v>128</v>
      </c>
      <c r="N8">
        <v>2200</v>
      </c>
      <c r="Q8">
        <v>1500</v>
      </c>
      <c r="R8">
        <v>800</v>
      </c>
      <c r="S8">
        <v>2600</v>
      </c>
      <c r="V8">
        <v>7100</v>
      </c>
      <c r="Z8" t="s">
        <v>48</v>
      </c>
      <c r="AA8" t="s">
        <v>86</v>
      </c>
    </row>
    <row r="9" spans="1:27" x14ac:dyDescent="0.4">
      <c r="L9" s="4" t="s">
        <v>129</v>
      </c>
      <c r="M9">
        <v>8050</v>
      </c>
      <c r="N9">
        <v>2000</v>
      </c>
      <c r="O9">
        <v>18300</v>
      </c>
      <c r="P9">
        <v>13100</v>
      </c>
      <c r="Q9">
        <v>7300</v>
      </c>
      <c r="R9">
        <v>5750</v>
      </c>
      <c r="S9">
        <v>4150</v>
      </c>
      <c r="T9">
        <v>1500</v>
      </c>
      <c r="V9">
        <v>60150</v>
      </c>
      <c r="Z9" t="s">
        <v>15</v>
      </c>
      <c r="AA9" t="s">
        <v>86</v>
      </c>
    </row>
    <row r="10" spans="1:27" x14ac:dyDescent="0.4">
      <c r="L10" s="4" t="s">
        <v>130</v>
      </c>
      <c r="M10">
        <v>5600</v>
      </c>
      <c r="N10">
        <v>27800</v>
      </c>
      <c r="O10">
        <v>60255</v>
      </c>
      <c r="P10">
        <v>8450</v>
      </c>
      <c r="Q10">
        <v>15300</v>
      </c>
      <c r="R10">
        <v>7800</v>
      </c>
      <c r="U10">
        <v>3000</v>
      </c>
      <c r="V10">
        <v>128205</v>
      </c>
    </row>
    <row r="11" spans="1:27" x14ac:dyDescent="0.4">
      <c r="L11" s="4" t="s">
        <v>131</v>
      </c>
      <c r="N11">
        <v>5300</v>
      </c>
      <c r="O11">
        <v>22200</v>
      </c>
      <c r="P11">
        <v>11220</v>
      </c>
      <c r="Q11">
        <v>3050</v>
      </c>
      <c r="V11">
        <v>41770</v>
      </c>
    </row>
    <row r="12" spans="1:27" x14ac:dyDescent="0.4">
      <c r="L12" s="4" t="s">
        <v>132</v>
      </c>
      <c r="N12">
        <v>1400</v>
      </c>
      <c r="O12">
        <v>1650</v>
      </c>
      <c r="P12">
        <v>2800</v>
      </c>
      <c r="V12">
        <v>5850</v>
      </c>
      <c r="Z12" s="10" t="s">
        <v>253</v>
      </c>
    </row>
    <row r="13" spans="1:27" x14ac:dyDescent="0.4">
      <c r="A13" s="3" t="s">
        <v>67</v>
      </c>
      <c r="B13" t="s">
        <v>136</v>
      </c>
      <c r="L13" s="4" t="s">
        <v>68</v>
      </c>
      <c r="M13">
        <v>13650</v>
      </c>
      <c r="N13">
        <v>38700</v>
      </c>
      <c r="O13">
        <v>102405</v>
      </c>
      <c r="P13">
        <v>35570</v>
      </c>
      <c r="Q13">
        <v>27150</v>
      </c>
      <c r="R13">
        <v>14350</v>
      </c>
      <c r="S13">
        <v>6750</v>
      </c>
      <c r="T13">
        <v>1500</v>
      </c>
      <c r="U13">
        <v>3000</v>
      </c>
      <c r="V13">
        <v>243075</v>
      </c>
    </row>
    <row r="14" spans="1:27" x14ac:dyDescent="0.4">
      <c r="A14" s="4" t="s">
        <v>7</v>
      </c>
      <c r="B14">
        <v>70</v>
      </c>
    </row>
    <row r="15" spans="1:27" x14ac:dyDescent="0.4">
      <c r="A15" s="4" t="s">
        <v>3</v>
      </c>
      <c r="B15">
        <v>67</v>
      </c>
      <c r="Z15" s="6" t="s">
        <v>57</v>
      </c>
      <c r="AA15" t="s">
        <v>89</v>
      </c>
    </row>
    <row r="16" spans="1:27" x14ac:dyDescent="0.4">
      <c r="A16" s="4" t="s">
        <v>68</v>
      </c>
      <c r="B16">
        <v>137</v>
      </c>
      <c r="L16" s="3" t="s">
        <v>67</v>
      </c>
      <c r="M16" t="s">
        <v>82</v>
      </c>
      <c r="N16" t="s">
        <v>81</v>
      </c>
      <c r="Z16" s="6" t="s">
        <v>90</v>
      </c>
      <c r="AA16" t="s">
        <v>91</v>
      </c>
    </row>
    <row r="17" spans="1:27" x14ac:dyDescent="0.4">
      <c r="L17" s="4" t="s">
        <v>95</v>
      </c>
      <c r="M17">
        <v>9450</v>
      </c>
      <c r="N17">
        <v>15700</v>
      </c>
      <c r="Z17" s="6" t="s">
        <v>92</v>
      </c>
      <c r="AA17" t="s">
        <v>91</v>
      </c>
    </row>
    <row r="18" spans="1:27" x14ac:dyDescent="0.4">
      <c r="L18" s="4" t="s">
        <v>42</v>
      </c>
      <c r="M18">
        <v>3900</v>
      </c>
      <c r="N18">
        <v>6450</v>
      </c>
      <c r="Z18" s="6" t="s">
        <v>56</v>
      </c>
      <c r="AA18" t="s">
        <v>93</v>
      </c>
    </row>
    <row r="19" spans="1:27" x14ac:dyDescent="0.4">
      <c r="L19" s="4" t="s">
        <v>66</v>
      </c>
      <c r="M19">
        <v>500</v>
      </c>
      <c r="N19">
        <v>200</v>
      </c>
      <c r="Z19" s="6" t="s">
        <v>41</v>
      </c>
      <c r="AA19" t="s">
        <v>91</v>
      </c>
    </row>
    <row r="20" spans="1:27" x14ac:dyDescent="0.4">
      <c r="A20" s="3" t="s">
        <v>133</v>
      </c>
      <c r="B20" s="3" t="s">
        <v>135</v>
      </c>
      <c r="L20" s="4" t="s">
        <v>47</v>
      </c>
      <c r="M20">
        <v>3225</v>
      </c>
      <c r="N20">
        <v>5750</v>
      </c>
      <c r="Z20" s="6" t="s">
        <v>94</v>
      </c>
      <c r="AA20" t="s">
        <v>89</v>
      </c>
    </row>
    <row r="21" spans="1:27" x14ac:dyDescent="0.4">
      <c r="A21" s="3" t="s">
        <v>67</v>
      </c>
      <c r="B21" t="s">
        <v>100</v>
      </c>
      <c r="C21" t="s">
        <v>91</v>
      </c>
      <c r="D21" t="s">
        <v>95</v>
      </c>
      <c r="E21" t="s">
        <v>89</v>
      </c>
      <c r="F21" t="s">
        <v>93</v>
      </c>
      <c r="G21" t="s">
        <v>96</v>
      </c>
      <c r="H21" t="s">
        <v>68</v>
      </c>
      <c r="L21" s="4" t="s">
        <v>44</v>
      </c>
      <c r="M21">
        <v>100</v>
      </c>
      <c r="N21">
        <v>700</v>
      </c>
      <c r="Z21" s="6" t="s">
        <v>95</v>
      </c>
      <c r="AA21" t="s">
        <v>95</v>
      </c>
    </row>
    <row r="22" spans="1:27" x14ac:dyDescent="0.4">
      <c r="A22" s="4" t="s">
        <v>128</v>
      </c>
      <c r="C22">
        <v>2</v>
      </c>
      <c r="D22">
        <v>1</v>
      </c>
      <c r="E22">
        <v>2</v>
      </c>
      <c r="F22">
        <v>1</v>
      </c>
      <c r="H22">
        <v>6</v>
      </c>
      <c r="L22" s="4" t="s">
        <v>94</v>
      </c>
      <c r="M22">
        <v>8500</v>
      </c>
      <c r="N22">
        <v>19400</v>
      </c>
      <c r="Z22" s="6" t="s">
        <v>42</v>
      </c>
      <c r="AA22" t="s">
        <v>96</v>
      </c>
    </row>
    <row r="23" spans="1:27" x14ac:dyDescent="0.4">
      <c r="A23" s="4" t="s">
        <v>129</v>
      </c>
      <c r="B23">
        <v>1</v>
      </c>
      <c r="C23">
        <v>18</v>
      </c>
      <c r="D23">
        <v>5</v>
      </c>
      <c r="E23">
        <v>14</v>
      </c>
      <c r="F23">
        <v>4</v>
      </c>
      <c r="G23">
        <v>2</v>
      </c>
      <c r="H23">
        <v>44</v>
      </c>
      <c r="L23" s="4" t="s">
        <v>61</v>
      </c>
      <c r="M23">
        <v>700</v>
      </c>
      <c r="N23">
        <v>1400</v>
      </c>
      <c r="Z23" s="6" t="s">
        <v>97</v>
      </c>
      <c r="AA23" t="s">
        <v>89</v>
      </c>
    </row>
    <row r="24" spans="1:27" x14ac:dyDescent="0.4">
      <c r="A24" s="4" t="s">
        <v>130</v>
      </c>
      <c r="B24">
        <v>3</v>
      </c>
      <c r="C24">
        <v>14</v>
      </c>
      <c r="D24">
        <v>7</v>
      </c>
      <c r="E24">
        <v>20</v>
      </c>
      <c r="F24">
        <v>11</v>
      </c>
      <c r="G24">
        <v>1</v>
      </c>
      <c r="H24">
        <v>56</v>
      </c>
      <c r="L24" s="4" t="s">
        <v>43</v>
      </c>
      <c r="M24">
        <v>1650</v>
      </c>
      <c r="N24">
        <v>2100</v>
      </c>
      <c r="Z24" s="6" t="s">
        <v>248</v>
      </c>
      <c r="AA24" t="s">
        <v>91</v>
      </c>
    </row>
    <row r="25" spans="1:27" x14ac:dyDescent="0.4">
      <c r="A25" s="4" t="s">
        <v>131</v>
      </c>
      <c r="B25">
        <v>2</v>
      </c>
      <c r="C25">
        <v>7</v>
      </c>
      <c r="D25">
        <v>1</v>
      </c>
      <c r="E25">
        <v>9</v>
      </c>
      <c r="F25">
        <v>5</v>
      </c>
      <c r="G25">
        <v>3</v>
      </c>
      <c r="H25">
        <v>27</v>
      </c>
      <c r="L25" s="4" t="s">
        <v>39</v>
      </c>
      <c r="M25">
        <v>1200</v>
      </c>
      <c r="N25">
        <v>3000</v>
      </c>
      <c r="Z25" s="6" t="s">
        <v>98</v>
      </c>
      <c r="AA25" t="s">
        <v>93</v>
      </c>
    </row>
    <row r="26" spans="1:27" x14ac:dyDescent="0.4">
      <c r="A26" s="4" t="s">
        <v>132</v>
      </c>
      <c r="C26">
        <v>2</v>
      </c>
      <c r="E26">
        <v>2</v>
      </c>
      <c r="H26">
        <v>4</v>
      </c>
      <c r="L26" s="4" t="s">
        <v>92</v>
      </c>
      <c r="M26">
        <v>9700</v>
      </c>
      <c r="N26">
        <v>14300</v>
      </c>
      <c r="Z26" s="6" t="s">
        <v>46</v>
      </c>
      <c r="AA26" t="s">
        <v>89</v>
      </c>
    </row>
    <row r="27" spans="1:27" x14ac:dyDescent="0.4">
      <c r="A27" s="4" t="s">
        <v>68</v>
      </c>
      <c r="B27">
        <v>6</v>
      </c>
      <c r="C27">
        <v>43</v>
      </c>
      <c r="D27">
        <v>14</v>
      </c>
      <c r="E27">
        <v>47</v>
      </c>
      <c r="F27">
        <v>21</v>
      </c>
      <c r="G27">
        <v>6</v>
      </c>
      <c r="H27">
        <v>137</v>
      </c>
      <c r="L27" s="4" t="s">
        <v>45</v>
      </c>
      <c r="M27">
        <v>3850</v>
      </c>
      <c r="N27">
        <v>9980</v>
      </c>
      <c r="Z27" s="6" t="s">
        <v>39</v>
      </c>
      <c r="AA27" t="s">
        <v>93</v>
      </c>
    </row>
    <row r="28" spans="1:27" x14ac:dyDescent="0.4">
      <c r="L28" s="4" t="s">
        <v>41</v>
      </c>
      <c r="M28">
        <v>6900</v>
      </c>
      <c r="N28">
        <v>16000</v>
      </c>
      <c r="Z28" s="6" t="s">
        <v>61</v>
      </c>
      <c r="AA28" t="s">
        <v>89</v>
      </c>
    </row>
    <row r="29" spans="1:27" x14ac:dyDescent="0.4">
      <c r="L29" s="4" t="s">
        <v>98</v>
      </c>
      <c r="M29">
        <v>3200</v>
      </c>
      <c r="N29">
        <v>5800</v>
      </c>
      <c r="Z29" s="6" t="s">
        <v>99</v>
      </c>
      <c r="AA29" t="s">
        <v>100</v>
      </c>
    </row>
    <row r="30" spans="1:27" x14ac:dyDescent="0.4">
      <c r="L30" s="4" t="s">
        <v>99</v>
      </c>
      <c r="M30">
        <v>400</v>
      </c>
      <c r="N30">
        <v>600</v>
      </c>
      <c r="Z30" s="6" t="s">
        <v>101</v>
      </c>
      <c r="AA30" t="s">
        <v>89</v>
      </c>
    </row>
    <row r="31" spans="1:27" x14ac:dyDescent="0.4">
      <c r="L31" s="4" t="s">
        <v>97</v>
      </c>
      <c r="M31">
        <v>1050</v>
      </c>
      <c r="N31">
        <v>2900</v>
      </c>
      <c r="Z31" s="6" t="s">
        <v>45</v>
      </c>
      <c r="AA31" t="s">
        <v>89</v>
      </c>
    </row>
    <row r="32" spans="1:27" x14ac:dyDescent="0.4">
      <c r="L32" s="4" t="s">
        <v>111</v>
      </c>
      <c r="M32">
        <v>2500</v>
      </c>
      <c r="N32">
        <v>7000</v>
      </c>
      <c r="Z32" s="6" t="s">
        <v>43</v>
      </c>
      <c r="AA32" t="s">
        <v>89</v>
      </c>
    </row>
    <row r="33" spans="1:27" x14ac:dyDescent="0.4">
      <c r="L33" s="4" t="s">
        <v>101</v>
      </c>
      <c r="M33">
        <v>150</v>
      </c>
      <c r="N33">
        <v>900</v>
      </c>
      <c r="Z33" s="6" t="s">
        <v>44</v>
      </c>
      <c r="AA33" t="s">
        <v>100</v>
      </c>
    </row>
    <row r="34" spans="1:27" x14ac:dyDescent="0.4">
      <c r="L34" s="4" t="s">
        <v>110</v>
      </c>
      <c r="M34">
        <v>4000</v>
      </c>
      <c r="N34">
        <v>4700</v>
      </c>
      <c r="Z34" s="6" t="s">
        <v>249</v>
      </c>
      <c r="AA34" t="s">
        <v>91</v>
      </c>
    </row>
    <row r="35" spans="1:27" x14ac:dyDescent="0.4">
      <c r="L35" s="4" t="s">
        <v>109</v>
      </c>
      <c r="M35">
        <v>170</v>
      </c>
      <c r="N35">
        <v>1300</v>
      </c>
      <c r="Z35" s="6" t="s">
        <v>47</v>
      </c>
      <c r="AA35" t="s">
        <v>93</v>
      </c>
    </row>
    <row r="36" spans="1:27" x14ac:dyDescent="0.4">
      <c r="L36" s="4" t="s">
        <v>46</v>
      </c>
      <c r="M36">
        <v>2500</v>
      </c>
      <c r="N36">
        <v>5600</v>
      </c>
      <c r="Z36" s="6" t="s">
        <v>250</v>
      </c>
      <c r="AA36" t="s">
        <v>95</v>
      </c>
    </row>
    <row r="37" spans="1:27" x14ac:dyDescent="0.4">
      <c r="L37" s="4" t="s">
        <v>90</v>
      </c>
      <c r="M37">
        <v>5050</v>
      </c>
      <c r="N37">
        <v>8400</v>
      </c>
      <c r="Z37" s="6" t="s">
        <v>66</v>
      </c>
      <c r="AA37" t="s">
        <v>91</v>
      </c>
    </row>
    <row r="38" spans="1:27" x14ac:dyDescent="0.4">
      <c r="L38" s="4" t="s">
        <v>57</v>
      </c>
      <c r="M38">
        <v>2300</v>
      </c>
      <c r="N38">
        <v>6100</v>
      </c>
      <c r="Z38" s="6" t="s">
        <v>251</v>
      </c>
      <c r="AA38" t="s">
        <v>100</v>
      </c>
    </row>
    <row r="39" spans="1:27" x14ac:dyDescent="0.4">
      <c r="L39" s="4" t="s">
        <v>108</v>
      </c>
      <c r="M39">
        <v>1900</v>
      </c>
      <c r="N39">
        <v>5000</v>
      </c>
    </row>
    <row r="40" spans="1:27" x14ac:dyDescent="0.4">
      <c r="L40" s="4" t="s">
        <v>56</v>
      </c>
      <c r="M40">
        <v>6500</v>
      </c>
      <c r="N40">
        <v>20400</v>
      </c>
    </row>
    <row r="41" spans="1:27" x14ac:dyDescent="0.4">
      <c r="L41" s="4" t="s">
        <v>68</v>
      </c>
      <c r="M41">
        <v>79395</v>
      </c>
      <c r="N41">
        <v>163680</v>
      </c>
    </row>
    <row r="44" spans="1:27" x14ac:dyDescent="0.4">
      <c r="A44" s="3" t="s">
        <v>134</v>
      </c>
      <c r="B44" s="3" t="s">
        <v>135</v>
      </c>
    </row>
    <row r="45" spans="1:27" x14ac:dyDescent="0.4">
      <c r="A45" s="3" t="s">
        <v>67</v>
      </c>
      <c r="B45" t="s">
        <v>7</v>
      </c>
      <c r="C45" t="s">
        <v>3</v>
      </c>
      <c r="D45" t="s">
        <v>68</v>
      </c>
    </row>
    <row r="46" spans="1:27" x14ac:dyDescent="0.4">
      <c r="A46" s="4" t="s">
        <v>100</v>
      </c>
      <c r="B46">
        <v>4800</v>
      </c>
      <c r="C46">
        <v>5700</v>
      </c>
      <c r="D46">
        <v>10500</v>
      </c>
      <c r="L46" s="3" t="s">
        <v>81</v>
      </c>
      <c r="M46" s="3" t="s">
        <v>135</v>
      </c>
    </row>
    <row r="47" spans="1:27" x14ac:dyDescent="0.4">
      <c r="A47" s="4" t="s">
        <v>91</v>
      </c>
      <c r="B47">
        <v>41750</v>
      </c>
      <c r="C47">
        <v>27670</v>
      </c>
      <c r="D47">
        <v>69420</v>
      </c>
      <c r="L47" s="3" t="s">
        <v>67</v>
      </c>
      <c r="M47" t="s">
        <v>14</v>
      </c>
      <c r="N47" t="s">
        <v>50</v>
      </c>
      <c r="O47" t="s">
        <v>17</v>
      </c>
      <c r="P47" t="s">
        <v>5</v>
      </c>
      <c r="Q47" t="s">
        <v>9</v>
      </c>
      <c r="R47" t="s">
        <v>26</v>
      </c>
      <c r="S47" t="s">
        <v>115</v>
      </c>
      <c r="T47" t="s">
        <v>11</v>
      </c>
      <c r="U47" t="s">
        <v>68</v>
      </c>
    </row>
    <row r="48" spans="1:27" x14ac:dyDescent="0.4">
      <c r="A48" s="4" t="s">
        <v>95</v>
      </c>
      <c r="B48">
        <v>14300</v>
      </c>
      <c r="C48">
        <v>20350</v>
      </c>
      <c r="D48">
        <v>34650</v>
      </c>
      <c r="L48" s="4" t="s">
        <v>100</v>
      </c>
      <c r="M48">
        <v>500</v>
      </c>
      <c r="N48">
        <v>400</v>
      </c>
      <c r="O48">
        <v>3000</v>
      </c>
      <c r="P48">
        <v>700</v>
      </c>
      <c r="R48">
        <v>600</v>
      </c>
      <c r="S48">
        <v>800</v>
      </c>
      <c r="U48">
        <v>6000</v>
      </c>
    </row>
    <row r="49" spans="1:21" x14ac:dyDescent="0.4">
      <c r="A49" s="4" t="s">
        <v>89</v>
      </c>
      <c r="B49">
        <v>29480</v>
      </c>
      <c r="C49">
        <v>39600</v>
      </c>
      <c r="D49">
        <v>69080</v>
      </c>
      <c r="L49" s="4" t="s">
        <v>91</v>
      </c>
      <c r="M49">
        <v>10300</v>
      </c>
      <c r="O49">
        <v>6200</v>
      </c>
      <c r="P49">
        <v>9700</v>
      </c>
      <c r="Q49">
        <v>13300</v>
      </c>
      <c r="T49">
        <v>5700</v>
      </c>
      <c r="U49">
        <v>45200</v>
      </c>
    </row>
    <row r="50" spans="1:21" x14ac:dyDescent="0.4">
      <c r="A50" s="4" t="s">
        <v>93</v>
      </c>
      <c r="B50">
        <v>29225</v>
      </c>
      <c r="C50">
        <v>19850</v>
      </c>
      <c r="D50">
        <v>49075</v>
      </c>
      <c r="L50" s="4" t="s">
        <v>95</v>
      </c>
      <c r="M50">
        <v>3400</v>
      </c>
      <c r="O50">
        <v>1000</v>
      </c>
      <c r="P50">
        <v>18300</v>
      </c>
      <c r="U50">
        <v>22700</v>
      </c>
    </row>
    <row r="51" spans="1:21" x14ac:dyDescent="0.4">
      <c r="A51" s="4" t="s">
        <v>96</v>
      </c>
      <c r="B51">
        <v>2100</v>
      </c>
      <c r="C51">
        <v>8250</v>
      </c>
      <c r="D51">
        <v>10350</v>
      </c>
      <c r="L51" s="4" t="s">
        <v>89</v>
      </c>
      <c r="M51">
        <v>11200</v>
      </c>
      <c r="O51">
        <v>1680</v>
      </c>
      <c r="P51">
        <v>34600</v>
      </c>
      <c r="S51">
        <v>900</v>
      </c>
      <c r="U51">
        <v>48380</v>
      </c>
    </row>
    <row r="52" spans="1:21" x14ac:dyDescent="0.4">
      <c r="A52" s="4" t="s">
        <v>68</v>
      </c>
      <c r="B52">
        <v>121655</v>
      </c>
      <c r="C52">
        <v>121420</v>
      </c>
      <c r="D52">
        <v>243075</v>
      </c>
      <c r="L52" s="4" t="s">
        <v>93</v>
      </c>
      <c r="M52">
        <v>2950</v>
      </c>
      <c r="O52">
        <v>400</v>
      </c>
      <c r="P52">
        <v>22600</v>
      </c>
      <c r="Q52">
        <v>8000</v>
      </c>
      <c r="S52">
        <v>1000</v>
      </c>
      <c r="U52">
        <v>34950</v>
      </c>
    </row>
    <row r="53" spans="1:21" x14ac:dyDescent="0.4">
      <c r="L53" s="4" t="s">
        <v>96</v>
      </c>
      <c r="M53">
        <v>1700</v>
      </c>
      <c r="O53">
        <v>2650</v>
      </c>
      <c r="P53">
        <v>2100</v>
      </c>
      <c r="U53">
        <v>6450</v>
      </c>
    </row>
    <row r="54" spans="1:21" x14ac:dyDescent="0.4">
      <c r="L54" s="4" t="s">
        <v>68</v>
      </c>
      <c r="M54">
        <v>30050</v>
      </c>
      <c r="N54">
        <v>400</v>
      </c>
      <c r="O54">
        <v>14930</v>
      </c>
      <c r="P54">
        <v>88000</v>
      </c>
      <c r="Q54">
        <v>21300</v>
      </c>
      <c r="R54">
        <v>600</v>
      </c>
      <c r="S54">
        <v>2700</v>
      </c>
      <c r="T54">
        <v>5700</v>
      </c>
      <c r="U54">
        <v>163680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F2770-A930-418A-82E7-F52321E07591}">
  <sheetPr codeName="Sheet3"/>
  <dimension ref="F1:AE9"/>
  <sheetViews>
    <sheetView showGridLines="0" tabSelected="1" zoomScale="57" zoomScaleNormal="57" workbookViewId="0">
      <selection activeCell="R54" sqref="R54"/>
    </sheetView>
  </sheetViews>
  <sheetFormatPr defaultRowHeight="14.6" x14ac:dyDescent="0.4"/>
  <cols>
    <col min="1" max="16384" width="9.23046875" style="8"/>
  </cols>
  <sheetData>
    <row r="1" spans="6:31" ht="14.6" customHeight="1" x14ac:dyDescent="1.1000000000000001">
      <c r="F1" s="7"/>
      <c r="G1" s="7"/>
      <c r="H1" s="7"/>
      <c r="I1" s="11" t="s">
        <v>247</v>
      </c>
      <c r="J1" s="12"/>
      <c r="K1" s="12"/>
      <c r="L1" s="12"/>
      <c r="M1" s="12"/>
      <c r="N1" s="12"/>
      <c r="O1" s="12"/>
      <c r="P1" s="12"/>
      <c r="Q1" s="12"/>
      <c r="R1" s="12"/>
      <c r="S1" s="12"/>
      <c r="T1" s="12"/>
      <c r="U1" s="12"/>
      <c r="V1" s="12"/>
      <c r="W1" s="12"/>
      <c r="X1" s="12"/>
      <c r="Y1" s="12"/>
      <c r="Z1" s="12"/>
    </row>
    <row r="2" spans="6:31" ht="14.6" customHeight="1" x14ac:dyDescent="1.1000000000000001">
      <c r="F2" s="7"/>
      <c r="G2" s="7"/>
      <c r="H2" s="7"/>
      <c r="I2" s="12"/>
      <c r="J2" s="12"/>
      <c r="K2" s="12"/>
      <c r="L2" s="12"/>
      <c r="M2" s="12"/>
      <c r="N2" s="12"/>
      <c r="O2" s="12"/>
      <c r="P2" s="12"/>
      <c r="Q2" s="12"/>
      <c r="R2" s="12"/>
      <c r="S2" s="12"/>
      <c r="T2" s="12"/>
      <c r="U2" s="12"/>
      <c r="V2" s="12"/>
      <c r="W2" s="12"/>
      <c r="X2" s="12"/>
      <c r="Y2" s="12"/>
      <c r="Z2" s="12"/>
    </row>
    <row r="3" spans="6:31" ht="14.6" customHeight="1" x14ac:dyDescent="1.1000000000000001">
      <c r="F3" s="7"/>
      <c r="G3" s="7"/>
      <c r="H3" s="7"/>
      <c r="I3" s="12"/>
      <c r="J3" s="12"/>
      <c r="K3" s="12"/>
      <c r="L3" s="12"/>
      <c r="M3" s="12"/>
      <c r="N3" s="12"/>
      <c r="O3" s="12"/>
      <c r="P3" s="12"/>
      <c r="Q3" s="12"/>
      <c r="R3" s="12"/>
      <c r="S3" s="12"/>
      <c r="T3" s="12"/>
      <c r="U3" s="12"/>
      <c r="V3" s="12"/>
      <c r="W3" s="12"/>
      <c r="X3" s="12"/>
      <c r="Y3" s="12"/>
      <c r="Z3" s="12"/>
    </row>
    <row r="4" spans="6:31" ht="14.6" customHeight="1" x14ac:dyDescent="0.4">
      <c r="I4" s="12"/>
      <c r="J4" s="12"/>
      <c r="K4" s="12"/>
      <c r="L4" s="12"/>
      <c r="M4" s="12"/>
      <c r="N4" s="12"/>
      <c r="O4" s="12"/>
      <c r="P4" s="12"/>
      <c r="Q4" s="12"/>
      <c r="R4" s="12"/>
      <c r="S4" s="12"/>
      <c r="T4" s="12"/>
      <c r="U4" s="12"/>
      <c r="V4" s="12"/>
      <c r="W4" s="12"/>
      <c r="X4" s="12"/>
      <c r="Y4" s="12"/>
      <c r="Z4" s="12"/>
      <c r="AA4" s="9"/>
      <c r="AB4" s="9"/>
      <c r="AC4" s="9"/>
      <c r="AD4" s="9"/>
      <c r="AE4" s="9"/>
    </row>
    <row r="5" spans="6:31" x14ac:dyDescent="0.4">
      <c r="J5" s="9"/>
      <c r="K5" s="9"/>
      <c r="L5" s="9"/>
      <c r="M5" s="9"/>
      <c r="N5" s="9"/>
      <c r="O5" s="9"/>
      <c r="P5" s="9"/>
      <c r="Q5" s="9"/>
      <c r="R5" s="9"/>
      <c r="S5" s="9"/>
      <c r="T5" s="9"/>
      <c r="U5" s="9"/>
      <c r="V5" s="9"/>
      <c r="W5" s="9"/>
      <c r="X5" s="9"/>
      <c r="Y5" s="9"/>
      <c r="Z5" s="9"/>
      <c r="AA5" s="9"/>
      <c r="AB5" s="9"/>
      <c r="AC5" s="9"/>
      <c r="AD5" s="9"/>
      <c r="AE5" s="9"/>
    </row>
    <row r="6" spans="6:31" x14ac:dyDescent="0.4">
      <c r="J6" s="9"/>
      <c r="K6" s="9"/>
      <c r="L6" s="9"/>
      <c r="M6" s="9"/>
      <c r="N6" s="9"/>
      <c r="O6" s="9"/>
      <c r="P6" s="9"/>
      <c r="Q6" s="9"/>
      <c r="R6" s="9"/>
      <c r="S6" s="9"/>
      <c r="T6" s="9"/>
      <c r="U6" s="9"/>
      <c r="V6" s="9"/>
      <c r="W6" s="9"/>
      <c r="X6" s="9"/>
      <c r="Y6" s="9"/>
      <c r="Z6" s="9"/>
      <c r="AA6" s="9"/>
      <c r="AB6" s="9"/>
      <c r="AC6" s="9"/>
      <c r="AD6" s="9"/>
      <c r="AE6" s="9"/>
    </row>
    <row r="7" spans="6:31" x14ac:dyDescent="0.4">
      <c r="J7" s="9"/>
      <c r="K7" s="9"/>
      <c r="L7" s="9"/>
      <c r="M7" s="9"/>
      <c r="N7" s="9"/>
      <c r="O7" s="9"/>
      <c r="P7" s="9"/>
      <c r="Q7" s="9"/>
      <c r="R7" s="9"/>
      <c r="S7" s="9"/>
      <c r="T7" s="9"/>
      <c r="U7" s="9"/>
      <c r="V7" s="9"/>
      <c r="W7" s="9"/>
      <c r="X7" s="9"/>
      <c r="Y7" s="9"/>
      <c r="Z7" s="9"/>
      <c r="AA7" s="9"/>
      <c r="AB7" s="9"/>
      <c r="AC7" s="9"/>
      <c r="AD7" s="9"/>
      <c r="AE7" s="9"/>
    </row>
    <row r="8" spans="6:31" x14ac:dyDescent="0.4">
      <c r="J8" s="9"/>
      <c r="K8" s="9"/>
      <c r="L8" s="9"/>
      <c r="M8" s="9"/>
      <c r="N8" s="9"/>
      <c r="O8" s="9"/>
      <c r="P8" s="9"/>
      <c r="Q8" s="9"/>
      <c r="R8" s="9"/>
      <c r="S8" s="9"/>
      <c r="T8" s="9"/>
      <c r="U8" s="9"/>
      <c r="V8" s="9"/>
      <c r="W8" s="9"/>
      <c r="X8" s="9"/>
      <c r="Y8" s="9"/>
      <c r="Z8" s="9"/>
      <c r="AA8" s="9"/>
      <c r="AB8" s="9"/>
      <c r="AC8" s="9"/>
      <c r="AD8" s="9"/>
      <c r="AE8" s="9"/>
    </row>
    <row r="9" spans="6:31" x14ac:dyDescent="0.4">
      <c r="J9" s="9"/>
      <c r="K9" s="9"/>
      <c r="L9" s="9"/>
      <c r="M9" s="9"/>
      <c r="N9" s="9"/>
      <c r="O9" s="9"/>
      <c r="P9" s="9"/>
      <c r="Q9" s="9"/>
      <c r="R9" s="9"/>
      <c r="S9" s="9"/>
      <c r="T9" s="9"/>
      <c r="U9" s="9"/>
      <c r="V9" s="9"/>
      <c r="W9" s="9"/>
      <c r="X9" s="9"/>
      <c r="Y9" s="9"/>
      <c r="Z9" s="9"/>
      <c r="AA9" s="9"/>
      <c r="AB9" s="9"/>
      <c r="AC9" s="9"/>
      <c r="AD9" s="9"/>
      <c r="AE9" s="9"/>
    </row>
  </sheetData>
  <mergeCells count="1">
    <mergeCell ref="I1:Z4"/>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BE649D27-5A7D-44FB-A93A-021A69353185}">
  <ds:schemaRefs/>
</ds:datastoreItem>
</file>

<file path=customXml/itemProps2.xml><?xml version="1.0" encoding="utf-8"?>
<ds:datastoreItem xmlns:ds="http://schemas.openxmlformats.org/officeDocument/2006/customXml" ds:itemID="{B6909F5C-AFC8-4C0A-9448-3404DD1BDCBF}">
  <ds:schemaRefs/>
</ds:datastoreItem>
</file>

<file path=customXml/itemProps3.xml><?xml version="1.0" encoding="utf-8"?>
<ds:datastoreItem xmlns:ds="http://schemas.openxmlformats.org/officeDocument/2006/customXml" ds:itemID="{C72B856A-07C7-4F69-BC95-182DCC2DF53B}">
  <ds:schemaRefs/>
</ds:datastoreItem>
</file>

<file path=customXml/itemProps4.xml><?xml version="1.0" encoding="utf-8"?>
<ds:datastoreItem xmlns:ds="http://schemas.openxmlformats.org/officeDocument/2006/customXml" ds:itemID="{A56D5D18-9698-441A-B8DD-C22F8F22931C}">
  <ds:schemaRefs/>
</ds:datastoreItem>
</file>

<file path=customXml/itemProps5.xml><?xml version="1.0" encoding="utf-8"?>
<ds:datastoreItem xmlns:ds="http://schemas.openxmlformats.org/officeDocument/2006/customXml" ds:itemID="{4D5C4849-010D-4E0B-9991-9ABCFC05F38E}">
  <ds:schemaRefs/>
</ds:datastoreItem>
</file>

<file path=customXml/itemProps6.xml><?xml version="1.0" encoding="utf-8"?>
<ds:datastoreItem xmlns:ds="http://schemas.openxmlformats.org/officeDocument/2006/customXml" ds:itemID="{23359D73-D85C-44F3-98B3-E84EEA23038E}">
  <ds:schemaRefs/>
</ds:datastoreItem>
</file>

<file path=customXml/itemProps7.xml><?xml version="1.0" encoding="utf-8"?>
<ds:datastoreItem xmlns:ds="http://schemas.openxmlformats.org/officeDocument/2006/customXml" ds:itemID="{5A73B42B-BC22-4BB7-AA3F-2DB2007022BB}">
  <ds:schemaRefs/>
</ds:datastoreItem>
</file>

<file path=customXml/itemProps8.xml><?xml version="1.0" encoding="utf-8"?>
<ds:datastoreItem xmlns:ds="http://schemas.openxmlformats.org/officeDocument/2006/customXml" ds:itemID="{A6A843C4-21CC-40C1-B5F3-EF5616159054}">
  <ds:schemaRefs/>
</ds:datastoreItem>
</file>

<file path=customXml/itemProps9.xml><?xml version="1.0" encoding="utf-8"?>
<ds:datastoreItem xmlns:ds="http://schemas.openxmlformats.org/officeDocument/2006/customXml" ds:itemID="{1EC92F45-92EB-4102-AD24-5E98A6C32461}">
  <ds:schemaRefs/>
</ds:datastoreItem>
</file>

<file path=customXml/itemProps10.xml><?xml version="1.0" encoding="utf-8"?>
<ds:datastoreItem xmlns:ds="http://schemas.openxmlformats.org/officeDocument/2006/customXml" ds:itemID="{034DAE48-0026-4FD2-BD05-82B6E082233F}">
  <ds:schemaRefs/>
</ds:datastoreItem>
</file>

<file path=customXml/itemProps11.xml><?xml version="1.0" encoding="utf-8"?>
<ds:datastoreItem xmlns:ds="http://schemas.openxmlformats.org/officeDocument/2006/customXml" ds:itemID="{89C9B758-0655-4795-81D5-EB16C778991A}">
  <ds:schemaRefs/>
</ds:datastoreItem>
</file>

<file path=customXml/itemProps12.xml><?xml version="1.0" encoding="utf-8"?>
<ds:datastoreItem xmlns:ds="http://schemas.openxmlformats.org/officeDocument/2006/customXml" ds:itemID="{CC89F306-6B8C-4C13-8C1F-70E8753141CB}">
  <ds:schemaRefs/>
</ds:datastoreItem>
</file>

<file path=customXml/itemProps13.xml><?xml version="1.0" encoding="utf-8"?>
<ds:datastoreItem xmlns:ds="http://schemas.openxmlformats.org/officeDocument/2006/customXml" ds:itemID="{ED9C3F87-B734-425F-B02C-3002D7F7E1DD}">
  <ds:schemaRefs/>
</ds:datastoreItem>
</file>

<file path=customXml/itemProps14.xml><?xml version="1.0" encoding="utf-8"?>
<ds:datastoreItem xmlns:ds="http://schemas.openxmlformats.org/officeDocument/2006/customXml" ds:itemID="{87E12271-F1FF-42A2-85EB-7A695E02494B}">
  <ds:schemaRefs/>
</ds:datastoreItem>
</file>

<file path=customXml/itemProps15.xml><?xml version="1.0" encoding="utf-8"?>
<ds:datastoreItem xmlns:ds="http://schemas.openxmlformats.org/officeDocument/2006/customXml" ds:itemID="{9F43E1F5-ECE8-41A3-B433-2B98D9601A71}">
  <ds:schemaRefs/>
</ds:datastoreItem>
</file>

<file path=customXml/itemProps16.xml><?xml version="1.0" encoding="utf-8"?>
<ds:datastoreItem xmlns:ds="http://schemas.openxmlformats.org/officeDocument/2006/customXml" ds:itemID="{52175D1E-D20B-4B90-859E-D1D459D294C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Travel details report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Yash</dc:creator>
  <cp:lastModifiedBy>yashdmahale@gmail.com</cp:lastModifiedBy>
  <dcterms:created xsi:type="dcterms:W3CDTF">2024-01-11T14:13:52Z</dcterms:created>
  <dcterms:modified xsi:type="dcterms:W3CDTF">2024-02-01T08:18:31Z</dcterms:modified>
</cp:coreProperties>
</file>